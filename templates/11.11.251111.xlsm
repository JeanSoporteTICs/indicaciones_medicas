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lockStructure="1" workbookAlgorithmName="SHA-512" workbookHashValue="Ofy7uT2diRW9t7G4XJf9rufd+yO65vnnOaUg0EKIesFY3cP5CeHbAHhXdmV4cLwE3NZ7xP2YRBTS5C0Ajo9Abg==" workbookSaltValue="Tk0x4UMFL17huCw3Ko7EyA==" workbookSpinCount="100000"/>
  <bookViews>
    <workbookView visibility="visible" minimized="0" showHorizontalScroll="1" showVerticalScroll="1" showSheetTabs="1" xWindow="-120" yWindow="-120" windowWidth="29040" windowHeight="15720" tabRatio="600" firstSheet="0" activeTab="0" autoFilterDateGrouping="1"/>
  </bookViews>
  <sheets>
    <sheet xmlns:r="http://schemas.openxmlformats.org/officeDocument/2006/relationships" name="Indicaciones médicas" sheetId="1" state="visible" r:id="rId1"/>
    <sheet xmlns:r="http://schemas.openxmlformats.org/officeDocument/2006/relationships" name="Receta médica" sheetId="2" state="visible" r:id="rId2"/>
    <sheet xmlns:r="http://schemas.openxmlformats.org/officeDocument/2006/relationships" name="Arsenal farmacologico HBV" sheetId="3" state="visible" r:id="rId3"/>
    <sheet xmlns:r="http://schemas.openxmlformats.org/officeDocument/2006/relationships" name="Configuracion" sheetId="4" state="visible" r:id="rId4"/>
  </sheets>
  <definedNames>
    <definedName name="AISLAMIENTO">Tabla6[AISLAMIENTO]</definedName>
    <definedName name="Arsenal">Tabla3[NOM_ARTICU]</definedName>
    <definedName name="CAMAS">Tabla4[CAMAS]</definedName>
    <definedName name="RASS">Tabla2[RASS]</definedName>
    <definedName name="SA">Tabla1[SA]</definedName>
    <definedName name="VM">Tabla5[VM]</definedName>
    <definedName name="_xlnm.Print_Area" localSheetId="0">'Indicaciones médicas'!$A$1:$P$102</definedName>
  </definedNames>
  <calcPr calcId="191029" fullCalcOnLoad="1"/>
</workbook>
</file>

<file path=xl/styles.xml><?xml version="1.0" encoding="utf-8"?>
<styleSheet xmlns="http://schemas.openxmlformats.org/spreadsheetml/2006/main">
  <numFmts count="2">
    <numFmt numFmtId="164" formatCode="0.0"/>
    <numFmt numFmtId="165" formatCode="[$-F400]h:mm:ss\ AM/PM"/>
  </numFmts>
  <fonts count="35">
    <font>
      <name val="Aptos Narrow"/>
      <charset val="134"/>
      <color theme="1"/>
      <sz val="11"/>
      <scheme val="minor"/>
    </font>
    <font>
      <name val="Aptos Narrow"/>
      <family val="2"/>
      <color theme="1"/>
      <sz val="11"/>
      <scheme val="minor"/>
    </font>
    <font>
      <name val="Arial"/>
      <charset val="134"/>
      <color theme="1"/>
      <sz val="11"/>
    </font>
    <font>
      <name val="Arial"/>
      <charset val="134"/>
      <color theme="1"/>
      <sz val="12"/>
    </font>
    <font>
      <name val="Calibri"/>
      <charset val="134"/>
      <color theme="1"/>
      <sz val="11"/>
    </font>
    <font>
      <name val="Arial"/>
      <charset val="134"/>
      <color theme="1"/>
      <sz val="10"/>
    </font>
    <font>
      <name val="Arial"/>
      <charset val="134"/>
      <b val="1"/>
      <sz val="10"/>
    </font>
    <font>
      <name val="Aptos Narrow"/>
      <charset val="134"/>
      <b val="1"/>
      <color theme="1"/>
      <sz val="12"/>
      <scheme val="minor"/>
    </font>
    <font>
      <name val="Aptos Narrow"/>
      <charset val="134"/>
      <b val="1"/>
      <color theme="1"/>
      <sz val="22"/>
      <scheme val="minor"/>
    </font>
    <font>
      <name val="Aptos Narrow"/>
      <charset val="134"/>
      <b val="1"/>
      <color theme="1"/>
      <sz val="10"/>
      <scheme val="minor"/>
    </font>
    <font>
      <name val="Aptos Narrow"/>
      <charset val="134"/>
      <b val="1"/>
      <sz val="12"/>
      <scheme val="minor"/>
    </font>
    <font>
      <name val="Aptos Narrow"/>
      <charset val="134"/>
      <color theme="1"/>
      <sz val="12"/>
      <scheme val="minor"/>
    </font>
    <font>
      <name val="Aptos Narrow"/>
      <charset val="134"/>
      <b val="1"/>
      <color theme="1"/>
      <sz val="11"/>
      <scheme val="minor"/>
    </font>
    <font>
      <name val="Aptos Narrow"/>
      <charset val="134"/>
      <b val="1"/>
      <sz val="10"/>
      <scheme val="minor"/>
    </font>
    <font>
      <name val="Aptos Narrow"/>
      <charset val="134"/>
      <color theme="1"/>
      <sz val="9"/>
      <scheme val="minor"/>
    </font>
    <font>
      <name val="Aptos Narrow"/>
      <charset val="134"/>
      <b val="1"/>
      <sz val="9"/>
      <scheme val="minor"/>
    </font>
    <font>
      <name val="Calibri"/>
      <charset val="134"/>
      <b val="1"/>
      <color theme="1"/>
      <sz val="14"/>
    </font>
    <font>
      <name val="Calibri"/>
      <charset val="134"/>
      <b val="1"/>
      <color theme="1"/>
      <sz val="11"/>
    </font>
    <font>
      <name val="Calibri"/>
      <charset val="134"/>
      <b val="1"/>
      <color theme="1"/>
      <sz val="12"/>
    </font>
    <font>
      <name val="Calibri"/>
      <charset val="134"/>
      <color theme="1"/>
      <sz val="12"/>
    </font>
    <font>
      <name val="Calibri"/>
      <charset val="134"/>
      <color theme="1"/>
      <sz val="10"/>
    </font>
    <font>
      <name val="Calibri"/>
      <charset val="134"/>
      <b val="1"/>
      <color theme="1"/>
      <sz val="16"/>
    </font>
    <font>
      <name val="Arial"/>
      <charset val="134"/>
      <b val="1"/>
      <color rgb="FF1F1F1F"/>
      <sz val="11"/>
    </font>
    <font>
      <name val="Segoe UI"/>
      <charset val="134"/>
      <sz val="9"/>
    </font>
    <font>
      <name val="Calibri"/>
      <charset val="134"/>
      <b val="1"/>
      <color theme="1"/>
      <sz val="12"/>
      <vertAlign val="superscript"/>
    </font>
    <font>
      <name val="Aptos Narrow"/>
      <charset val="134"/>
      <color theme="1"/>
      <sz val="11"/>
      <scheme val="minor"/>
    </font>
    <font>
      <name val="Aptos Narrow"/>
      <color rgb="FF000000"/>
      <sz val="10"/>
    </font>
    <font>
      <name val="Calibri"/>
      <family val="2"/>
      <color theme="1"/>
      <sz val="12"/>
    </font>
    <font>
      <name val="Calibri"/>
      <family val="2"/>
      <b val="1"/>
      <color theme="1"/>
      <sz val="12"/>
      <vertAlign val="superscript"/>
    </font>
    <font>
      <name val="Calibri"/>
      <family val="2"/>
      <b val="1"/>
      <color theme="1"/>
      <sz val="12"/>
    </font>
    <font>
      <name val="Calibri"/>
      <family val="2"/>
      <b val="1"/>
      <color theme="1"/>
      <sz val="11"/>
    </font>
    <font>
      <name val="Arial"/>
      <family val="2"/>
      <color theme="1"/>
      <sz val="11"/>
    </font>
    <font>
      <name val="Arial"/>
      <family val="2"/>
      <color theme="1"/>
      <sz val="11"/>
      <vertAlign val="superscript"/>
    </font>
    <font>
      <name val="Arial"/>
      <charset val="134"/>
      <family val="2"/>
      <color theme="1"/>
      <sz val="10"/>
    </font>
    <font>
      <name val="Aptos Narrow"/>
      <family val="2"/>
      <b val="1"/>
      <color theme="1"/>
      <sz val="11"/>
      <scheme val="minor"/>
    </font>
  </fonts>
  <fills count="6">
    <fill>
      <patternFill/>
    </fill>
    <fill>
      <patternFill patternType="gray125"/>
    </fill>
    <fill>
      <patternFill patternType="solid">
        <fgColor theme="0"/>
        <bgColor indexed="64"/>
      </patternFill>
    </fill>
    <fill>
      <patternFill patternType="solid">
        <fgColor rgb="FFFFFFFF"/>
        <bgColor indexed="64"/>
      </patternFill>
    </fill>
    <fill>
      <patternFill patternType="solid">
        <fgColor theme="0"/>
        <bgColor theme="0"/>
      </patternFill>
    </fill>
    <fill>
      <patternFill patternType="solid">
        <fgColor rgb="FFFFFF00"/>
        <bgColor indexed="64"/>
      </patternFill>
    </fill>
  </fills>
  <borders count="41">
    <border>
      <left/>
      <right/>
      <top/>
      <bottom/>
      <diagonal/>
    </border>
    <border>
      <left style="thin">
        <color auto="1"/>
      </left>
      <right/>
      <top/>
      <bottom/>
      <diagonal/>
    </border>
    <border>
      <left style="medium">
        <color auto="1"/>
      </left>
      <right style="medium">
        <color auto="1"/>
      </right>
      <top style="medium">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ck">
        <color auto="1"/>
      </left>
      <right style="medium">
        <color auto="1"/>
      </right>
      <top/>
      <bottom/>
      <diagonal/>
    </border>
    <border>
      <left/>
      <right style="thin">
        <color auto="1"/>
      </right>
      <top/>
      <bottom/>
      <diagonal/>
    </border>
    <border>
      <left style="thin">
        <color auto="1"/>
      </left>
      <right/>
      <top/>
      <bottom style="medium">
        <color auto="1"/>
      </bottom>
      <diagonal/>
    </border>
    <border>
      <left/>
      <right style="medium">
        <color auto="1"/>
      </right>
      <top/>
      <bottom/>
      <diagonal/>
    </border>
    <border>
      <left style="thin">
        <color auto="1"/>
      </left>
      <right/>
      <top style="medium">
        <color auto="1"/>
      </top>
      <bottom style="medium">
        <color auto="1"/>
      </bottom>
      <diagonal/>
    </border>
    <border>
      <left style="medium">
        <color auto="1"/>
      </left>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style="medium">
        <color auto="1"/>
      </top>
      <bottom style="thin">
        <color auto="1"/>
      </bottom>
      <diagonal/>
    </border>
    <border>
      <left/>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bottom style="medium">
        <color auto="1"/>
      </bottom>
      <diagonal/>
    </border>
  </borders>
  <cellStyleXfs count="3">
    <xf numFmtId="0" fontId="25" fillId="0" borderId="0"/>
    <xf numFmtId="0" fontId="25" fillId="4" borderId="0"/>
    <xf numFmtId="0" fontId="23" fillId="0" borderId="0"/>
  </cellStyleXfs>
  <cellXfs count="320">
    <xf numFmtId="0" fontId="0" fillId="0" borderId="0" pivotButton="0" quotePrefix="0" xfId="0"/>
    <xf numFmtId="0" fontId="0" fillId="0" borderId="0" applyProtection="1" pivotButton="0" quotePrefix="0" xfId="0">
      <protection locked="0" hidden="0"/>
    </xf>
    <xf numFmtId="0" fontId="2" fillId="0" borderId="0" applyProtection="1" pivotButton="0" quotePrefix="0" xfId="0">
      <protection locked="0" hidden="0"/>
    </xf>
    <xf numFmtId="0" fontId="3" fillId="0" borderId="0" applyProtection="1" pivotButton="0" quotePrefix="0" xfId="0">
      <protection locked="0" hidden="0"/>
    </xf>
    <xf numFmtId="0" fontId="3" fillId="0" borderId="0" pivotButton="0" quotePrefix="0" xfId="0"/>
    <xf numFmtId="0" fontId="2" fillId="0" borderId="0" pivotButton="0" quotePrefix="0" xfId="0"/>
    <xf numFmtId="49" fontId="4" fillId="0" borderId="1" applyAlignment="1" pivotButton="0" quotePrefix="0" xfId="0">
      <alignment vertical="top"/>
    </xf>
    <xf numFmtId="0" fontId="3" fillId="0" borderId="0" applyAlignment="1" pivotButton="0" quotePrefix="0" xfId="0">
      <alignment vertical="center"/>
    </xf>
    <xf numFmtId="0" fontId="5" fillId="0" borderId="0" pivotButton="0" quotePrefix="0" xfId="0"/>
    <xf numFmtId="0" fontId="6" fillId="0" borderId="0" pivotButton="0" quotePrefix="0" xfId="0"/>
    <xf numFmtId="0" fontId="7" fillId="0" borderId="0" pivotButton="0" quotePrefix="0" xfId="0"/>
    <xf numFmtId="164" fontId="8" fillId="0" borderId="0" pivotButton="0" quotePrefix="0" xfId="0"/>
    <xf numFmtId="0" fontId="9" fillId="0" borderId="0" pivotButton="0" quotePrefix="0" xfId="0"/>
    <xf numFmtId="164" fontId="10" fillId="0" borderId="2" pivotButton="0" quotePrefix="0" xfId="0"/>
    <xf numFmtId="164" fontId="0" fillId="0" borderId="0" pivotButton="0" quotePrefix="0" xfId="0"/>
    <xf numFmtId="1" fontId="7" fillId="0" borderId="2" applyAlignment="1" applyProtection="1" pivotButton="0" quotePrefix="0" xfId="0">
      <alignment horizontal="center"/>
      <protection locked="0" hidden="0"/>
    </xf>
    <xf numFmtId="164" fontId="10" fillId="0" borderId="6" pivotButton="0" quotePrefix="0" xfId="0"/>
    <xf numFmtId="164" fontId="7" fillId="0" borderId="6" pivotButton="0" quotePrefix="0" xfId="0"/>
    <xf numFmtId="1" fontId="7" fillId="0" borderId="7" applyAlignment="1" applyProtection="1" pivotButton="0" quotePrefix="0" xfId="0">
      <alignment horizontal="center"/>
      <protection locked="0" hidden="0"/>
    </xf>
    <xf numFmtId="164" fontId="10" fillId="0" borderId="7" pivotButton="0" quotePrefix="0" xfId="0"/>
    <xf numFmtId="164" fontId="7" fillId="0" borderId="7" pivotButton="0" quotePrefix="0" xfId="0"/>
    <xf numFmtId="1" fontId="7" fillId="0" borderId="11" applyAlignment="1" applyProtection="1" pivotButton="0" quotePrefix="0" xfId="0">
      <alignment horizontal="center"/>
      <protection locked="0" hidden="0"/>
    </xf>
    <xf numFmtId="164" fontId="7" fillId="0" borderId="8" pivotButton="0" quotePrefix="0" xfId="0"/>
    <xf numFmtId="0" fontId="7" fillId="0" borderId="11" pivotButton="0" quotePrefix="0" xfId="0"/>
    <xf numFmtId="0" fontId="11" fillId="0" borderId="10" applyAlignment="1" pivotButton="0" quotePrefix="0" xfId="0">
      <alignment horizontal="center"/>
    </xf>
    <xf numFmtId="164" fontId="10" fillId="2" borderId="3" pivotButton="0" quotePrefix="0" xfId="0"/>
    <xf numFmtId="0" fontId="11" fillId="0" borderId="11" pivotButton="0" quotePrefix="0" xfId="0"/>
    <xf numFmtId="164" fontId="10" fillId="0" borderId="15" pivotButton="0" quotePrefix="0" xfId="0"/>
    <xf numFmtId="164" fontId="7" fillId="0" borderId="15" pivotButton="0" quotePrefix="0" xfId="0"/>
    <xf numFmtId="164" fontId="7" fillId="0" borderId="16" pivotButton="0" quotePrefix="0" xfId="0"/>
    <xf numFmtId="0" fontId="11" fillId="0" borderId="17" pivotButton="0" quotePrefix="0" xfId="0"/>
    <xf numFmtId="0" fontId="12" fillId="0" borderId="0" pivotButton="0" quotePrefix="0" xfId="0"/>
    <xf numFmtId="164" fontId="13" fillId="0" borderId="18" applyAlignment="1" pivotButton="0" quotePrefix="0" xfId="0">
      <alignment horizontal="center"/>
    </xf>
    <xf numFmtId="164" fontId="13" fillId="0" borderId="19" applyAlignment="1" pivotButton="0" quotePrefix="0" xfId="0">
      <alignment horizontal="center"/>
    </xf>
    <xf numFmtId="164" fontId="13" fillId="0" borderId="20" applyAlignment="1" pivotButton="0" quotePrefix="0" xfId="0">
      <alignment horizontal="center"/>
    </xf>
    <xf numFmtId="0" fontId="13" fillId="0" borderId="20" applyAlignment="1" pivotButton="0" quotePrefix="0" xfId="0">
      <alignment horizontal="center"/>
    </xf>
    <xf numFmtId="0" fontId="14" fillId="0" borderId="18" applyAlignment="1" pivotButton="0" quotePrefix="0" xfId="0">
      <alignment horizontal="center" vertical="center"/>
    </xf>
    <xf numFmtId="0" fontId="15" fillId="0" borderId="20" applyAlignment="1" pivotButton="0" quotePrefix="0" xfId="0">
      <alignment horizontal="center" vertical="center"/>
    </xf>
    <xf numFmtId="0" fontId="14" fillId="0" borderId="1" applyAlignment="1" pivotButton="0" quotePrefix="0" xfId="0">
      <alignment horizontal="center" vertical="center"/>
    </xf>
    <xf numFmtId="0" fontId="15" fillId="0" borderId="23" applyAlignment="1" pivotButton="0" quotePrefix="0" xfId="0">
      <alignment horizontal="center" vertical="center"/>
    </xf>
    <xf numFmtId="0" fontId="14" fillId="0" borderId="24" applyAlignment="1" pivotButton="0" quotePrefix="0" xfId="0">
      <alignment horizontal="center" vertical="center"/>
    </xf>
    <xf numFmtId="0" fontId="15" fillId="0" borderId="24" applyAlignment="1" pivotButton="0" quotePrefix="0" xfId="0">
      <alignment horizontal="center" vertical="center"/>
    </xf>
    <xf numFmtId="0" fontId="4" fillId="0" borderId="25" pivotButton="0" quotePrefix="0" xfId="0"/>
    <xf numFmtId="0" fontId="4" fillId="0" borderId="21" pivotButton="0" quotePrefix="0" xfId="0"/>
    <xf numFmtId="0" fontId="4" fillId="0" borderId="1" pivotButton="0" quotePrefix="0" xfId="0"/>
    <xf numFmtId="0" fontId="4" fillId="0" borderId="0" pivotButton="0" quotePrefix="0" xfId="0"/>
    <xf numFmtId="0" fontId="4" fillId="0" borderId="0" applyAlignment="1" pivotButton="0" quotePrefix="0" xfId="0">
      <alignment horizontal="left"/>
    </xf>
    <xf numFmtId="0" fontId="4" fillId="0" borderId="26" pivotButton="0" quotePrefix="0" xfId="0"/>
    <xf numFmtId="0" fontId="4" fillId="0" borderId="27" pivotButton="0" quotePrefix="0" xfId="0"/>
    <xf numFmtId="0" fontId="18" fillId="0" borderId="28" pivotButton="0" quotePrefix="0" xfId="0"/>
    <xf numFmtId="14" fontId="19" fillId="0" borderId="15" applyAlignment="1" applyProtection="1" pivotButton="0" quotePrefix="0" xfId="0">
      <alignment horizontal="center"/>
      <protection locked="1" hidden="1"/>
    </xf>
    <xf numFmtId="0" fontId="18" fillId="0" borderId="29" applyAlignment="1" pivotButton="0" quotePrefix="0" xfId="0">
      <alignment horizontal="left"/>
    </xf>
    <xf numFmtId="14" fontId="19" fillId="0" borderId="1" applyAlignment="1" applyProtection="1" pivotButton="0" quotePrefix="0" xfId="0">
      <alignment horizontal="left"/>
      <protection locked="0" hidden="0"/>
    </xf>
    <xf numFmtId="0" fontId="18" fillId="0" borderId="15" pivotButton="0" quotePrefix="0" xfId="0"/>
    <xf numFmtId="14" fontId="19" fillId="0" borderId="15" applyAlignment="1" applyProtection="1" pivotButton="0" quotePrefix="0" xfId="0">
      <alignment horizontal="left"/>
      <protection locked="0" hidden="0"/>
    </xf>
    <xf numFmtId="0" fontId="18" fillId="0" borderId="0" applyProtection="1" pivotButton="0" quotePrefix="0" xfId="0">
      <protection locked="0" hidden="0"/>
    </xf>
    <xf numFmtId="165" fontId="20" fillId="0" borderId="15" applyAlignment="1" applyProtection="1" pivotButton="0" quotePrefix="0" xfId="0">
      <alignment horizontal="center"/>
      <protection locked="1" hidden="1"/>
    </xf>
    <xf numFmtId="0" fontId="18" fillId="0" borderId="16" pivotButton="0" quotePrefix="0" xfId="0"/>
    <xf numFmtId="0" fontId="19" fillId="0" borderId="31" applyProtection="1" pivotButton="0" quotePrefix="0" xfId="0">
      <protection locked="0" hidden="0"/>
    </xf>
    <xf numFmtId="14" fontId="18" fillId="0" borderId="15" applyProtection="1" pivotButton="0" quotePrefix="0" xfId="0">
      <protection locked="0" hidden="0"/>
    </xf>
    <xf numFmtId="0" fontId="18" fillId="0" borderId="34" pivotButton="0" quotePrefix="0" xfId="0"/>
    <xf numFmtId="0" fontId="18" fillId="0" borderId="26" applyAlignment="1" pivotButton="0" quotePrefix="0" xfId="0">
      <alignment horizontal="left"/>
    </xf>
    <xf numFmtId="0" fontId="19" fillId="0" borderId="27" pivotButton="0" quotePrefix="0" xfId="0"/>
    <xf numFmtId="0" fontId="19" fillId="0" borderId="25" applyAlignment="1" applyProtection="1" pivotButton="0" quotePrefix="0" xfId="0">
      <alignment vertical="top"/>
      <protection locked="0" hidden="0"/>
    </xf>
    <xf numFmtId="49" fontId="18" fillId="0" borderId="24" applyAlignment="1" pivotButton="0" quotePrefix="0" xfId="0">
      <alignment vertical="top"/>
    </xf>
    <xf numFmtId="0" fontId="19" fillId="0" borderId="26" applyProtection="1" pivotButton="0" quotePrefix="0" xfId="0">
      <protection locked="0" hidden="0"/>
    </xf>
    <xf numFmtId="49" fontId="19" fillId="0" borderId="24" applyAlignment="1" applyProtection="1" pivotButton="0" quotePrefix="0" xfId="0">
      <alignment vertical="top"/>
      <protection locked="0" hidden="0"/>
    </xf>
    <xf numFmtId="0" fontId="19" fillId="0" borderId="24" applyProtection="1" pivotButton="0" quotePrefix="0" xfId="0">
      <protection locked="0" hidden="0"/>
    </xf>
    <xf numFmtId="0" fontId="19" fillId="0" borderId="25" applyProtection="1" pivotButton="0" quotePrefix="0" xfId="0">
      <protection locked="0" hidden="0"/>
    </xf>
    <xf numFmtId="0" fontId="19" fillId="0" borderId="23" applyProtection="1" pivotButton="0" quotePrefix="0" xfId="0">
      <protection locked="0" hidden="0"/>
    </xf>
    <xf numFmtId="0" fontId="19" fillId="0" borderId="23" applyAlignment="1" applyProtection="1" pivotButton="0" quotePrefix="0" xfId="0">
      <alignment horizontal="center"/>
      <protection locked="0" hidden="0"/>
    </xf>
    <xf numFmtId="49" fontId="18" fillId="0" borderId="23" applyAlignment="1" pivotButton="0" quotePrefix="0" xfId="0">
      <alignment vertical="top"/>
    </xf>
    <xf numFmtId="0" fontId="18" fillId="0" borderId="1" applyProtection="1" pivotButton="0" quotePrefix="0" xfId="0">
      <protection locked="0" hidden="0"/>
    </xf>
    <xf numFmtId="0" fontId="18" fillId="0" borderId="25" applyProtection="1" pivotButton="0" quotePrefix="0" xfId="0">
      <protection locked="0" hidden="0"/>
    </xf>
    <xf numFmtId="0" fontId="18" fillId="0" borderId="26" applyProtection="1" pivotButton="0" quotePrefix="0" xfId="0">
      <protection locked="0" hidden="0"/>
    </xf>
    <xf numFmtId="0" fontId="18" fillId="0" borderId="24" applyProtection="1" pivotButton="0" quotePrefix="0" xfId="0">
      <protection locked="0" hidden="0"/>
    </xf>
    <xf numFmtId="0" fontId="19" fillId="0" borderId="1" applyProtection="1" pivotButton="0" quotePrefix="0" xfId="0">
      <protection locked="0" hidden="0"/>
    </xf>
    <xf numFmtId="0" fontId="4" fillId="0" borderId="23" applyProtection="1" pivotButton="0" quotePrefix="0" xfId="0">
      <protection locked="0" hidden="0"/>
    </xf>
    <xf numFmtId="0" fontId="4" fillId="0" borderId="23" applyAlignment="1" applyProtection="1" pivotButton="0" quotePrefix="0" xfId="0">
      <alignment horizontal="center"/>
      <protection locked="0" hidden="0"/>
    </xf>
    <xf numFmtId="0" fontId="4" fillId="0" borderId="21" applyProtection="1" pivotButton="0" quotePrefix="0" xfId="0">
      <protection locked="0" hidden="0"/>
    </xf>
    <xf numFmtId="0" fontId="18" fillId="0" borderId="26" applyAlignment="1" pivotButton="0" quotePrefix="0" xfId="0">
      <alignment horizontal="left" vertical="center"/>
    </xf>
    <xf numFmtId="0" fontId="18" fillId="0" borderId="34" applyAlignment="1" pivotButton="0" quotePrefix="0" xfId="0">
      <alignment vertical="center"/>
    </xf>
    <xf numFmtId="0" fontId="19" fillId="0" borderId="27" applyProtection="1" pivotButton="0" quotePrefix="0" xfId="0">
      <protection locked="0" hidden="0"/>
    </xf>
    <xf numFmtId="0" fontId="19" fillId="0" borderId="34" applyProtection="1" pivotButton="0" quotePrefix="0" xfId="0">
      <protection locked="0" hidden="0"/>
    </xf>
    <xf numFmtId="0" fontId="18" fillId="0" borderId="25" applyAlignment="1" pivotButton="0" quotePrefix="0" xfId="0">
      <alignment vertical="center"/>
    </xf>
    <xf numFmtId="0" fontId="18" fillId="0" borderId="23" applyAlignment="1" pivotButton="0" quotePrefix="0" xfId="0">
      <alignment vertical="center"/>
    </xf>
    <xf numFmtId="0" fontId="19" fillId="0" borderId="21" applyProtection="1" pivotButton="0" quotePrefix="0" xfId="0">
      <protection locked="0" hidden="0"/>
    </xf>
    <xf numFmtId="0" fontId="18" fillId="0" borderId="26" applyAlignment="1" pivotButton="0" quotePrefix="0" xfId="0">
      <alignment vertical="center"/>
    </xf>
    <xf numFmtId="16" fontId="19" fillId="0" borderId="25" applyProtection="1" pivotButton="0" quotePrefix="0" xfId="0">
      <protection locked="0" hidden="0"/>
    </xf>
    <xf numFmtId="16" fontId="19" fillId="0" borderId="26" applyProtection="1" pivotButton="0" quotePrefix="0" xfId="0">
      <protection locked="0" hidden="0"/>
    </xf>
    <xf numFmtId="0" fontId="18" fillId="0" borderId="34" applyAlignment="1" pivotButton="0" quotePrefix="0" xfId="0">
      <alignment horizontal="left" vertical="center"/>
    </xf>
    <xf numFmtId="0" fontId="18" fillId="0" borderId="18" pivotButton="0" quotePrefix="0" xfId="0"/>
    <xf numFmtId="0" fontId="18" fillId="0" borderId="24" pivotButton="0" quotePrefix="0" xfId="0"/>
    <xf numFmtId="0" fontId="0" fillId="0" borderId="21" pivotButton="0" quotePrefix="0" xfId="0"/>
    <xf numFmtId="0" fontId="0" fillId="0" borderId="22" pivotButton="0" quotePrefix="0" xfId="0"/>
    <xf numFmtId="0" fontId="0" fillId="0" borderId="29" pivotButton="0" quotePrefix="0" xfId="0"/>
    <xf numFmtId="0" fontId="0" fillId="0" borderId="27" pivotButton="0" quotePrefix="0" xfId="0"/>
    <xf numFmtId="0" fontId="0" fillId="0" borderId="35" pivotButton="0" quotePrefix="0" xfId="0"/>
    <xf numFmtId="0" fontId="18" fillId="0" borderId="17" pivotButton="0" quotePrefix="0" xfId="0"/>
    <xf numFmtId="0" fontId="18" fillId="0" borderId="33" pivotButton="0" quotePrefix="0" xfId="0"/>
    <xf numFmtId="0" fontId="18" fillId="0" borderId="23" applyProtection="1" pivotButton="0" quotePrefix="0" xfId="0">
      <protection locked="0" hidden="0"/>
    </xf>
    <xf numFmtId="0" fontId="18" fillId="0" borderId="31" pivotButton="0" quotePrefix="0" xfId="0"/>
    <xf numFmtId="0" fontId="19" fillId="0" borderId="15" applyAlignment="1" applyProtection="1" pivotButton="0" quotePrefix="0" xfId="0">
      <alignment horizontal="center"/>
      <protection locked="0" hidden="0"/>
    </xf>
    <xf numFmtId="0" fontId="0" fillId="0" borderId="24" pivotButton="0" quotePrefix="0" xfId="0"/>
    <xf numFmtId="0" fontId="19" fillId="0" borderId="22" applyProtection="1" pivotButton="0" quotePrefix="0" xfId="0">
      <protection locked="0" hidden="0"/>
    </xf>
    <xf numFmtId="0" fontId="0" fillId="0" borderId="23" pivotButton="0" quotePrefix="0" xfId="0"/>
    <xf numFmtId="0" fontId="0" fillId="0" borderId="31" pivotButton="0" quotePrefix="0" xfId="0"/>
    <xf numFmtId="0" fontId="22" fillId="3" borderId="0" applyAlignment="1" pivotButton="0" quotePrefix="0" xfId="0">
      <alignment horizontal="left" vertical="center" wrapText="1" indent="1"/>
    </xf>
    <xf numFmtId="0" fontId="22" fillId="3" borderId="0" applyAlignment="1" pivotButton="0" quotePrefix="0" xfId="0">
      <alignment horizontal="left" vertical="center" indent="1"/>
    </xf>
    <xf numFmtId="49" fontId="19" fillId="0" borderId="36" applyAlignment="1" applyProtection="1" pivotButton="0" quotePrefix="0" xfId="0">
      <alignment vertical="top"/>
      <protection locked="0" hidden="0"/>
    </xf>
    <xf numFmtId="0" fontId="18" fillId="0" borderId="3" applyAlignment="1" pivotButton="0" quotePrefix="0" xfId="0">
      <alignment horizontal="left"/>
    </xf>
    <xf numFmtId="0" fontId="28" fillId="0" borderId="16" applyProtection="1" pivotButton="0" quotePrefix="0" xfId="0">
      <protection locked="0" hidden="0"/>
    </xf>
    <xf numFmtId="0" fontId="29" fillId="0" borderId="15" pivotButton="0" quotePrefix="0" xfId="0"/>
    <xf numFmtId="0" fontId="18" fillId="0" borderId="5" applyProtection="1" pivotButton="0" quotePrefix="0" xfId="0">
      <protection locked="0" hidden="0"/>
    </xf>
    <xf numFmtId="0" fontId="18" fillId="0" borderId="16" applyProtection="1" pivotButton="0" quotePrefix="0" xfId="0">
      <protection locked="0" hidden="0"/>
    </xf>
    <xf numFmtId="0" fontId="27" fillId="0" borderId="4" applyProtection="1" pivotButton="0" quotePrefix="0" xfId="0">
      <protection locked="0" hidden="0"/>
    </xf>
    <xf numFmtId="0" fontId="27" fillId="0" borderId="16" applyProtection="1" pivotButton="0" quotePrefix="0" xfId="0">
      <protection locked="0" hidden="0"/>
    </xf>
    <xf numFmtId="0" fontId="19" fillId="0" borderId="16" applyProtection="1" pivotButton="0" quotePrefix="0" xfId="0">
      <protection locked="0" hidden="0"/>
    </xf>
    <xf numFmtId="0" fontId="18" fillId="0" borderId="16" applyAlignment="1" applyProtection="1" pivotButton="0" quotePrefix="0" xfId="0">
      <alignment horizontal="left"/>
      <protection locked="0" hidden="0"/>
    </xf>
    <xf numFmtId="164" fontId="30" fillId="0" borderId="16" applyAlignment="1" applyProtection="1" pivotButton="0" quotePrefix="0" xfId="0">
      <alignment horizontal="center"/>
      <protection locked="1" hidden="1"/>
    </xf>
    <xf numFmtId="0" fontId="30" fillId="0" borderId="16" pivotButton="0" quotePrefix="0" xfId="0"/>
    <xf numFmtId="0" fontId="29" fillId="0" borderId="5" applyProtection="1" pivotButton="0" quotePrefix="0" xfId="0">
      <protection locked="0" hidden="0"/>
    </xf>
    <xf numFmtId="164" fontId="29" fillId="0" borderId="3" applyProtection="1" pivotButton="0" quotePrefix="0" xfId="0">
      <protection locked="0" hidden="0"/>
    </xf>
    <xf numFmtId="0" fontId="31" fillId="0" borderId="0" applyProtection="1" pivotButton="0" quotePrefix="0" xfId="0">
      <protection locked="0" hidden="0"/>
    </xf>
    <xf numFmtId="0" fontId="33" fillId="0" borderId="0" pivotButton="0" quotePrefix="0" xfId="0"/>
    <xf numFmtId="2" fontId="19" fillId="0" borderId="15" applyAlignment="1" applyProtection="1" pivotButton="0" quotePrefix="0" xfId="0">
      <alignment horizontal="center"/>
      <protection locked="0" hidden="0"/>
    </xf>
    <xf numFmtId="0" fontId="1" fillId="5" borderId="0" pivotButton="0" quotePrefix="0" xfId="0"/>
    <xf numFmtId="0" fontId="0" fillId="5" borderId="0" pivotButton="0" quotePrefix="0" xfId="0"/>
    <xf numFmtId="0" fontId="19" fillId="0" borderId="16" applyAlignment="1" pivotButton="0" quotePrefix="0" xfId="0">
      <alignment horizontal="left"/>
    </xf>
    <xf numFmtId="0" fontId="29" fillId="0" borderId="25" applyProtection="1" pivotButton="0" quotePrefix="0" xfId="0">
      <protection locked="0" hidden="0"/>
    </xf>
    <xf numFmtId="0" fontId="16" fillId="0" borderId="0" applyAlignment="1" applyProtection="1" pivotButton="0" quotePrefix="0" xfId="0">
      <alignment horizontal="left"/>
      <protection locked="0" hidden="0"/>
    </xf>
    <xf numFmtId="0" fontId="17" fillId="0" borderId="0" applyAlignment="1" applyProtection="1" pivotButton="0" quotePrefix="0" xfId="0">
      <alignment horizontal="left"/>
      <protection locked="0" hidden="0"/>
    </xf>
    <xf numFmtId="164" fontId="19" fillId="0" borderId="0" applyAlignment="1" applyProtection="1" pivotButton="0" quotePrefix="0" xfId="0">
      <alignment horizontal="center"/>
      <protection locked="1" hidden="1"/>
    </xf>
    <xf numFmtId="0" fontId="0" fillId="0" borderId="33" applyAlignment="1" pivotButton="0" quotePrefix="0" xfId="0">
      <alignment horizontal="center"/>
    </xf>
    <xf numFmtId="0" fontId="0" fillId="0" borderId="31" applyAlignment="1" pivotButton="0" quotePrefix="0" xfId="0">
      <alignment horizontal="center"/>
    </xf>
    <xf numFmtId="14" fontId="19" fillId="0" borderId="3" applyAlignment="1" applyProtection="1" pivotButton="0" quotePrefix="0" xfId="0">
      <alignment horizontal="left"/>
      <protection locked="0" hidden="0"/>
    </xf>
    <xf numFmtId="14" fontId="19" fillId="0" borderId="4" applyAlignment="1" applyProtection="1" pivotButton="0" quotePrefix="0" xfId="0">
      <alignment horizontal="left"/>
      <protection locked="0" hidden="0"/>
    </xf>
    <xf numFmtId="14" fontId="19" fillId="0" borderId="5" applyAlignment="1" applyProtection="1" pivotButton="0" quotePrefix="0" xfId="0">
      <alignment horizontal="left"/>
      <protection locked="0" hidden="0"/>
    </xf>
    <xf numFmtId="0" fontId="0" fillId="0" borderId="3" applyAlignment="1" pivotButton="0" quotePrefix="0" xfId="0">
      <alignment horizontal="left"/>
    </xf>
    <xf numFmtId="0" fontId="0" fillId="0" borderId="5" applyAlignment="1" pivotButton="0" quotePrefix="0" xfId="0">
      <alignment horizontal="left"/>
    </xf>
    <xf numFmtId="0" fontId="18" fillId="0" borderId="30" applyAlignment="1" pivotButton="0" quotePrefix="0" xfId="0">
      <alignment horizontal="left"/>
    </xf>
    <xf numFmtId="0" fontId="18" fillId="0" borderId="14" applyAlignment="1" pivotButton="0" quotePrefix="0" xfId="0">
      <alignment horizontal="left"/>
    </xf>
    <xf numFmtId="0" fontId="19" fillId="0" borderId="12" applyAlignment="1" applyProtection="1" pivotButton="0" quotePrefix="0" xfId="0">
      <alignment horizontal="center"/>
      <protection locked="0" hidden="0"/>
    </xf>
    <xf numFmtId="0" fontId="19" fillId="0" borderId="14" applyAlignment="1" applyProtection="1" pivotButton="0" quotePrefix="0" xfId="0">
      <alignment horizontal="center"/>
      <protection locked="0" hidden="0"/>
    </xf>
    <xf numFmtId="0" fontId="18" fillId="0" borderId="3" applyAlignment="1" pivotButton="0" quotePrefix="0" xfId="0">
      <alignment horizontal="left"/>
    </xf>
    <xf numFmtId="0" fontId="18" fillId="0" borderId="5" applyAlignment="1" pivotButton="0" quotePrefix="0" xfId="0">
      <alignment horizontal="left"/>
    </xf>
    <xf numFmtId="2" fontId="19" fillId="0" borderId="33" applyAlignment="1" applyProtection="1" pivotButton="0" quotePrefix="0" xfId="0">
      <alignment horizontal="center"/>
      <protection locked="1" hidden="1"/>
    </xf>
    <xf numFmtId="2" fontId="19" fillId="0" borderId="0" applyAlignment="1" applyProtection="1" pivotButton="0" quotePrefix="0" xfId="0">
      <alignment horizontal="center"/>
      <protection locked="1" hidden="1"/>
    </xf>
    <xf numFmtId="2" fontId="19" fillId="0" borderId="31" applyAlignment="1" applyProtection="1" pivotButton="0" quotePrefix="0" xfId="0">
      <alignment horizontal="center"/>
      <protection locked="1" hidden="1"/>
    </xf>
    <xf numFmtId="0" fontId="0" fillId="0" borderId="3" applyAlignment="1" pivotButton="0" quotePrefix="0" xfId="0">
      <alignment horizontal="center"/>
    </xf>
    <xf numFmtId="0" fontId="0" fillId="0" borderId="4" applyAlignment="1" pivotButton="0" quotePrefix="0" xfId="0">
      <alignment horizontal="center"/>
    </xf>
    <xf numFmtId="0" fontId="0" fillId="0" borderId="5" applyAlignment="1" pivotButton="0" quotePrefix="0" xfId="0">
      <alignment horizontal="center"/>
    </xf>
    <xf numFmtId="0" fontId="18" fillId="0" borderId="32" applyAlignment="1" pivotButton="0" quotePrefix="0" xfId="0">
      <alignment horizontal="left"/>
    </xf>
    <xf numFmtId="0" fontId="19" fillId="0" borderId="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9" applyAlignment="1" applyProtection="1" pivotButton="0" quotePrefix="0" xfId="0">
      <alignment horizontal="left"/>
      <protection locked="0" hidden="0"/>
    </xf>
    <xf numFmtId="0" fontId="19" fillId="0" borderId="5" applyAlignment="1" applyProtection="1" pivotButton="0" quotePrefix="0" xfId="0">
      <alignment horizontal="left"/>
      <protection locked="0" hidden="0"/>
    </xf>
    <xf numFmtId="2" fontId="18" fillId="0" borderId="3" applyAlignment="1" applyProtection="1" pivotButton="0" quotePrefix="0" xfId="0">
      <alignment horizontal="left"/>
      <protection locked="1" hidden="1"/>
    </xf>
    <xf numFmtId="2" fontId="18" fillId="0" borderId="5" applyAlignment="1" applyProtection="1" pivotButton="0" quotePrefix="0" xfId="0">
      <alignment horizontal="left"/>
      <protection locked="1" hidden="1"/>
    </xf>
    <xf numFmtId="2" fontId="29" fillId="0" borderId="3" applyAlignment="1" applyProtection="1" pivotButton="0" quotePrefix="0" xfId="0">
      <alignment horizontal="left"/>
      <protection locked="1" hidden="1"/>
    </xf>
    <xf numFmtId="0" fontId="18" fillId="0" borderId="26" applyAlignment="1" pivotButton="0" quotePrefix="0" xfId="0">
      <alignment horizontal="center"/>
    </xf>
    <xf numFmtId="0" fontId="18" fillId="0" borderId="27" applyAlignment="1" pivotButton="0" quotePrefix="0" xfId="0">
      <alignment horizontal="center"/>
    </xf>
    <xf numFmtId="0" fontId="18" fillId="0" borderId="35" applyAlignment="1" pivotButton="0" quotePrefix="0" xfId="0">
      <alignment horizontal="center"/>
    </xf>
    <xf numFmtId="49" fontId="19" fillId="0" borderId="18" applyAlignment="1" applyProtection="1" pivotButton="0" quotePrefix="0" xfId="0">
      <alignment horizontal="left" vertical="top"/>
      <protection locked="0" hidden="0"/>
    </xf>
    <xf numFmtId="49" fontId="19" fillId="0" borderId="19" applyAlignment="1" applyProtection="1" pivotButton="0" quotePrefix="0" xfId="0">
      <alignment horizontal="left" vertical="top"/>
      <protection locked="0" hidden="0"/>
    </xf>
    <xf numFmtId="49" fontId="19" fillId="0" borderId="20" applyAlignment="1" applyProtection="1" pivotButton="0" quotePrefix="0" xfId="0">
      <alignment horizontal="left" vertical="top"/>
      <protection locked="0" hidden="0"/>
    </xf>
    <xf numFmtId="0" fontId="19" fillId="0" borderId="3" applyAlignment="1" pivotButton="0" quotePrefix="0" xfId="0">
      <alignment horizontal="center"/>
    </xf>
    <xf numFmtId="0" fontId="19" fillId="0" borderId="4" applyAlignment="1" pivotButton="0" quotePrefix="0" xfId="0">
      <alignment horizontal="center"/>
    </xf>
    <xf numFmtId="0" fontId="19" fillId="0" borderId="5" applyAlignment="1" pivotButton="0" quotePrefix="0" xfId="0">
      <alignment horizontal="center"/>
    </xf>
    <xf numFmtId="0" fontId="29" fillId="0" borderId="4" applyAlignment="1" pivotButton="0" quotePrefix="0" xfId="0">
      <alignment horizontal="left"/>
    </xf>
    <xf numFmtId="0" fontId="29" fillId="0" borderId="3" applyAlignment="1" applyProtection="1" pivotButton="0" quotePrefix="0" xfId="0">
      <alignment horizontal="center"/>
      <protection locked="0" hidden="0"/>
    </xf>
    <xf numFmtId="0" fontId="29" fillId="0" borderId="5" applyAlignment="1" applyProtection="1" pivotButton="0" quotePrefix="0" xfId="0">
      <alignment horizontal="center"/>
      <protection locked="0" hidden="0"/>
    </xf>
    <xf numFmtId="0" fontId="29" fillId="0" borderId="37" applyAlignment="1" pivotButton="0" quotePrefix="0" xfId="0">
      <alignment horizontal="left"/>
    </xf>
    <xf numFmtId="0" fontId="29" fillId="0" borderId="38" applyAlignment="1" pivotButton="0" quotePrefix="0" xfId="0">
      <alignment horizontal="left"/>
    </xf>
    <xf numFmtId="49" fontId="18" fillId="0" borderId="21" applyAlignment="1" applyProtection="1" pivotButton="0" quotePrefix="0" xfId="0">
      <alignment horizontal="left" vertical="top"/>
      <protection locked="0" hidden="0"/>
    </xf>
    <xf numFmtId="49" fontId="18" fillId="0" borderId="22" applyAlignment="1" applyProtection="1" pivotButton="0" quotePrefix="0" xfId="0">
      <alignment horizontal="left" vertical="top"/>
      <protection locked="0" hidden="0"/>
    </xf>
    <xf numFmtId="49" fontId="18" fillId="0" borderId="25" applyAlignment="1" applyProtection="1" pivotButton="0" quotePrefix="0" xfId="0">
      <alignment horizontal="left" vertical="top"/>
      <protection locked="0" hidden="0"/>
    </xf>
    <xf numFmtId="0" fontId="0" fillId="0" borderId="18" applyAlignment="1" pivotButton="0" quotePrefix="0" xfId="0">
      <alignment horizontal="left"/>
    </xf>
    <xf numFmtId="0" fontId="0" fillId="0" borderId="19" applyAlignment="1" pivotButton="0" quotePrefix="0" xfId="0">
      <alignment horizontal="left"/>
    </xf>
    <xf numFmtId="0" fontId="0" fillId="0" borderId="20" applyAlignment="1" pivotButton="0" quotePrefix="0" xfId="0">
      <alignment horizontal="left"/>
    </xf>
    <xf numFmtId="0" fontId="19" fillId="0" borderId="25" applyAlignment="1" applyProtection="1" pivotButton="0" quotePrefix="0" xfId="0">
      <alignment horizontal="left"/>
      <protection locked="0" hidden="0"/>
    </xf>
    <xf numFmtId="0" fontId="19" fillId="0" borderId="21" applyAlignment="1" applyProtection="1" pivotButton="0" quotePrefix="0" xfId="0">
      <alignment horizontal="left"/>
      <protection locked="0" hidden="0"/>
    </xf>
    <xf numFmtId="0" fontId="19" fillId="0" borderId="22" applyAlignment="1" applyProtection="1" pivotButton="0" quotePrefix="0" xfId="0">
      <alignment horizontal="left"/>
      <protection locked="0" hidden="0"/>
    </xf>
    <xf numFmtId="0" fontId="27" fillId="0" borderId="25" applyAlignment="1" applyProtection="1" pivotButton="0" quotePrefix="0" xfId="0">
      <alignment horizontal="center"/>
      <protection locked="0" hidden="0"/>
    </xf>
    <xf numFmtId="0" fontId="19" fillId="0" borderId="21" applyAlignment="1" applyProtection="1" pivotButton="0" quotePrefix="0" xfId="0">
      <alignment horizontal="center"/>
      <protection locked="0" hidden="0"/>
    </xf>
    <xf numFmtId="0" fontId="19" fillId="0" borderId="22" applyAlignment="1" applyProtection="1" pivotButton="0" quotePrefix="0" xfId="0">
      <alignment horizontal="center"/>
      <protection locked="0" hidden="0"/>
    </xf>
    <xf numFmtId="0" fontId="19" fillId="0" borderId="24" applyAlignment="1" applyProtection="1" pivotButton="0" quotePrefix="0" xfId="0">
      <alignment horizontal="left"/>
      <protection locked="0" hidden="0"/>
    </xf>
    <xf numFmtId="49" fontId="19" fillId="0" borderId="26" applyAlignment="1" pivotButton="0" quotePrefix="0" xfId="0">
      <alignment horizontal="left" vertical="top"/>
    </xf>
    <xf numFmtId="49" fontId="19" fillId="0" borderId="27" applyAlignment="1" pivotButton="0" quotePrefix="0" xfId="0">
      <alignment horizontal="left" vertical="top"/>
    </xf>
    <xf numFmtId="49" fontId="19" fillId="0" borderId="35" applyAlignment="1" pivotButton="0" quotePrefix="0" xfId="0">
      <alignment horizontal="left" vertical="top"/>
    </xf>
    <xf numFmtId="49" fontId="19" fillId="0" borderId="1" applyAlignment="1" pivotButton="0" quotePrefix="0" xfId="0">
      <alignment horizontal="left" vertical="top"/>
    </xf>
    <xf numFmtId="49" fontId="19" fillId="0" borderId="0" applyAlignment="1" pivotButton="0" quotePrefix="0" xfId="0">
      <alignment horizontal="left" vertical="top"/>
    </xf>
    <xf numFmtId="49" fontId="19" fillId="0" borderId="29" applyAlignment="1" pivotButton="0" quotePrefix="0" xfId="0">
      <alignment horizontal="left" vertical="top"/>
    </xf>
    <xf numFmtId="0" fontId="29" fillId="0" borderId="25" applyAlignment="1" applyProtection="1" pivotButton="0" quotePrefix="0" xfId="0">
      <alignment horizontal="center"/>
      <protection locked="0" hidden="0"/>
    </xf>
    <xf numFmtId="49" fontId="19" fillId="0" borderId="23" applyAlignment="1" pivotButton="0" quotePrefix="0" xfId="0">
      <alignment horizontal="left" vertical="top"/>
    </xf>
    <xf numFmtId="49" fontId="19" fillId="0" borderId="25" applyAlignment="1" pivotButton="0" quotePrefix="0" xfId="0">
      <alignment horizontal="left" vertical="top"/>
    </xf>
    <xf numFmtId="49" fontId="18" fillId="0" borderId="18" applyAlignment="1" applyProtection="1" pivotButton="0" quotePrefix="0" xfId="0">
      <alignment horizontal="left" vertical="top"/>
      <protection locked="0" hidden="0"/>
    </xf>
    <xf numFmtId="49" fontId="18" fillId="0" borderId="19" applyAlignment="1" applyProtection="1" pivotButton="0" quotePrefix="0" xfId="0">
      <alignment horizontal="left" vertical="top"/>
      <protection locked="0" hidden="0"/>
    </xf>
    <xf numFmtId="49" fontId="18" fillId="0" borderId="27" applyAlignment="1" applyProtection="1" pivotButton="0" quotePrefix="0" xfId="0">
      <alignment horizontal="left" vertical="top"/>
      <protection locked="0" hidden="0"/>
    </xf>
    <xf numFmtId="49" fontId="18" fillId="0" borderId="35" applyAlignment="1" applyProtection="1" pivotButton="0" quotePrefix="0" xfId="0">
      <alignment horizontal="left" vertical="top"/>
      <protection locked="0" hidden="0"/>
    </xf>
    <xf numFmtId="49" fontId="18" fillId="0" borderId="26" applyAlignment="1" applyProtection="1" pivotButton="0" quotePrefix="0" xfId="0">
      <alignment horizontal="left" vertical="top"/>
      <protection locked="0" hidden="0"/>
    </xf>
    <xf numFmtId="0" fontId="18" fillId="0" borderId="25" applyAlignment="1" pivotButton="0" quotePrefix="0" xfId="0">
      <alignment horizontal="left" vertical="center"/>
    </xf>
    <xf numFmtId="0" fontId="18" fillId="0" borderId="21" applyAlignment="1" pivotButton="0" quotePrefix="0" xfId="0">
      <alignment horizontal="left" vertical="center"/>
    </xf>
    <xf numFmtId="0" fontId="29" fillId="0" borderId="26" applyAlignment="1" pivotButton="0" quotePrefix="0" xfId="0">
      <alignment horizontal="left" vertical="center"/>
    </xf>
    <xf numFmtId="0" fontId="18" fillId="0" borderId="27" applyAlignment="1" pivotButton="0" quotePrefix="0" xfId="0">
      <alignment horizontal="left" vertical="center"/>
    </xf>
    <xf numFmtId="0" fontId="18" fillId="0" borderId="26" applyAlignment="1" pivotButton="0" quotePrefix="0" xfId="0">
      <alignment horizontal="left" vertical="center"/>
    </xf>
    <xf numFmtId="0" fontId="27" fillId="0" borderId="4" applyAlignment="1" applyProtection="1" pivotButton="0" quotePrefix="0" xfId="0">
      <alignment horizontal="center"/>
      <protection locked="0" hidden="0"/>
    </xf>
    <xf numFmtId="0" fontId="19" fillId="0" borderId="4" applyAlignment="1" applyProtection="1" pivotButton="0" quotePrefix="0" xfId="0">
      <alignment horizontal="center"/>
      <protection locked="0" hidden="0"/>
    </xf>
    <xf numFmtId="0" fontId="19" fillId="0" borderId="5" applyAlignment="1" applyProtection="1" pivotButton="0" quotePrefix="0" xfId="0">
      <alignment horizontal="center"/>
      <protection locked="0" hidden="0"/>
    </xf>
    <xf numFmtId="0" fontId="18" fillId="0" borderId="18" applyAlignment="1" pivotButton="0" quotePrefix="0" xfId="0">
      <alignment horizontal="center"/>
    </xf>
    <xf numFmtId="0" fontId="18" fillId="0" borderId="19" applyAlignment="1" pivotButton="0" quotePrefix="0" xfId="0">
      <alignment horizontal="center"/>
    </xf>
    <xf numFmtId="0" fontId="18" fillId="0" borderId="18" applyAlignment="1" pivotButton="0" quotePrefix="0" xfId="0">
      <alignment horizontal="left"/>
    </xf>
    <xf numFmtId="0" fontId="18" fillId="0" borderId="19" applyAlignment="1" pivotButton="0" quotePrefix="0" xfId="0">
      <alignment horizontal="left"/>
    </xf>
    <xf numFmtId="0" fontId="18" fillId="0" borderId="20" applyAlignment="1" pivotButton="0" quotePrefix="0" xfId="0">
      <alignment horizontal="left"/>
    </xf>
    <xf numFmtId="0" fontId="19" fillId="0" borderId="23" applyAlignment="1" applyProtection="1" pivotButton="0" quotePrefix="0" xfId="0">
      <alignment horizontal="center"/>
      <protection locked="0" hidden="0"/>
    </xf>
    <xf numFmtId="0" fontId="19" fillId="0" borderId="34" applyAlignment="1" applyProtection="1" pivotButton="0" quotePrefix="0" xfId="0">
      <alignment horizontal="center"/>
      <protection locked="0" hidden="0"/>
    </xf>
    <xf numFmtId="0" fontId="18" fillId="0" borderId="23" applyAlignment="1" applyProtection="1" pivotButton="0" quotePrefix="0" xfId="0">
      <alignment horizontal="center"/>
      <protection locked="0" hidden="0"/>
    </xf>
    <xf numFmtId="0" fontId="18" fillId="0" borderId="34" applyAlignment="1" applyProtection="1" pivotButton="0" quotePrefix="0" xfId="0">
      <alignment horizontal="center"/>
      <protection locked="0" hidden="0"/>
    </xf>
    <xf numFmtId="0" fontId="21" fillId="0" borderId="1" applyAlignment="1" pivotButton="0" quotePrefix="0" xfId="0">
      <alignment horizontal="left" vertical="center"/>
    </xf>
    <xf numFmtId="0" fontId="21" fillId="0" borderId="0" applyAlignment="1" pivotButton="0" quotePrefix="0" xfId="0">
      <alignment horizontal="left" vertical="center"/>
    </xf>
    <xf numFmtId="0" fontId="21" fillId="0" borderId="29" applyAlignment="1" pivotButton="0" quotePrefix="0" xfId="0">
      <alignment horizontal="left" vertical="center"/>
    </xf>
    <xf numFmtId="0" fontId="21" fillId="0" borderId="26" applyAlignment="1" pivotButton="0" quotePrefix="0" xfId="0">
      <alignment horizontal="left" vertical="center"/>
    </xf>
    <xf numFmtId="0" fontId="21" fillId="0" borderId="27" applyAlignment="1" pivotButton="0" quotePrefix="0" xfId="0">
      <alignment horizontal="left" vertical="center"/>
    </xf>
    <xf numFmtId="0" fontId="21" fillId="0" borderId="35" applyAlignment="1" pivotButton="0" quotePrefix="0" xfId="0">
      <alignment horizontal="left" vertical="center"/>
    </xf>
    <xf numFmtId="0" fontId="19" fillId="0" borderId="1" applyAlignment="1" applyProtection="1" pivotButton="0" quotePrefix="0" xfId="0">
      <alignment horizontal="center"/>
      <protection locked="0" hidden="0"/>
    </xf>
    <xf numFmtId="0" fontId="19" fillId="0" borderId="0" applyAlignment="1" applyProtection="1" pivotButton="0" quotePrefix="0" xfId="0">
      <alignment horizontal="center"/>
      <protection locked="0" hidden="0"/>
    </xf>
    <xf numFmtId="0" fontId="19" fillId="0" borderId="29" applyAlignment="1" applyProtection="1" pivotButton="0" quotePrefix="0" xfId="0">
      <alignment horizontal="center"/>
      <protection locked="0" hidden="0"/>
    </xf>
    <xf numFmtId="15" fontId="7" fillId="0" borderId="3" applyAlignment="1" pivotButton="0" quotePrefix="0" xfId="0">
      <alignment horizontal="center"/>
    </xf>
    <xf numFmtId="15" fontId="7" fillId="0" borderId="4" applyAlignment="1" pivotButton="0" quotePrefix="0" xfId="0">
      <alignment horizontal="center"/>
    </xf>
    <xf numFmtId="15" fontId="7" fillId="0" borderId="5" applyAlignment="1" pivotButton="0" quotePrefix="0" xfId="0">
      <alignment horizontal="center"/>
    </xf>
    <xf numFmtId="1" fontId="10" fillId="0" borderId="3" applyAlignment="1" pivotButton="0" quotePrefix="0" xfId="0">
      <alignment horizontal="center"/>
    </xf>
    <xf numFmtId="1" fontId="10" fillId="0" borderId="4" applyAlignment="1" pivotButton="0" quotePrefix="0" xfId="0">
      <alignment horizontal="center"/>
    </xf>
    <xf numFmtId="1" fontId="10" fillId="0" borderId="5" applyAlignment="1" pivotButton="0" quotePrefix="0" xfId="0">
      <alignment horizontal="center"/>
    </xf>
    <xf numFmtId="1" fontId="10" fillId="0" borderId="8" applyAlignment="1" pivotButton="0" quotePrefix="0" xfId="0">
      <alignment horizontal="center"/>
    </xf>
    <xf numFmtId="1" fontId="10" fillId="0" borderId="9" applyAlignment="1" pivotButton="0" quotePrefix="0" xfId="0">
      <alignment horizontal="center"/>
    </xf>
    <xf numFmtId="1" fontId="10" fillId="0" borderId="10" applyAlignment="1" pivotButton="0" quotePrefix="0" xfId="0">
      <alignment horizontal="center"/>
    </xf>
    <xf numFmtId="1" fontId="7" fillId="0" borderId="3" applyAlignment="1" pivotButton="0" quotePrefix="0" xfId="0">
      <alignment horizontal="center"/>
    </xf>
    <xf numFmtId="1" fontId="7" fillId="0" borderId="4" applyAlignment="1" pivotButton="0" quotePrefix="0" xfId="0">
      <alignment horizontal="center"/>
    </xf>
    <xf numFmtId="1" fontId="7" fillId="0" borderId="5" applyAlignment="1" pivotButton="0" quotePrefix="0" xfId="0">
      <alignment horizontal="center"/>
    </xf>
    <xf numFmtId="1" fontId="10" fillId="0" borderId="12" applyAlignment="1" pivotButton="0" quotePrefix="0" xfId="0">
      <alignment horizontal="center"/>
    </xf>
    <xf numFmtId="1" fontId="10" fillId="0" borderId="13" applyAlignment="1" pivotButton="0" quotePrefix="0" xfId="0">
      <alignment horizontal="center"/>
    </xf>
    <xf numFmtId="1" fontId="10" fillId="0" borderId="14" applyAlignment="1" pivotButton="0" quotePrefix="0" xfId="0">
      <alignment horizontal="center"/>
    </xf>
    <xf numFmtId="14" fontId="7" fillId="0" borderId="3" applyAlignment="1" pivotButton="0" quotePrefix="0" xfId="0">
      <alignment horizontal="center"/>
    </xf>
    <xf numFmtId="0" fontId="7" fillId="0" borderId="4" applyAlignment="1" pivotButton="0" quotePrefix="0" xfId="0">
      <alignment horizontal="center"/>
    </xf>
    <xf numFmtId="0" fontId="7" fillId="0" borderId="5" applyAlignment="1" pivotButton="0" quotePrefix="0" xfId="0">
      <alignment horizontal="center"/>
    </xf>
    <xf numFmtId="0" fontId="7" fillId="0" borderId="3" applyAlignment="1" pivotButton="0" quotePrefix="0" xfId="0">
      <alignment horizontal="center"/>
    </xf>
    <xf numFmtId="0" fontId="14" fillId="0" borderId="18" applyAlignment="1" pivotButton="0" quotePrefix="0" xfId="0">
      <alignment horizontal="center" vertical="center"/>
    </xf>
    <xf numFmtId="0" fontId="14" fillId="0" borderId="19" applyAlignment="1" pivotButton="0" quotePrefix="0" xfId="0">
      <alignment horizontal="center" vertical="center"/>
    </xf>
    <xf numFmtId="0" fontId="14" fillId="0" borderId="20" applyAlignment="1" pivotButton="0" quotePrefix="0" xfId="0">
      <alignment horizontal="center" vertical="center"/>
    </xf>
    <xf numFmtId="0" fontId="14" fillId="0" borderId="21" applyAlignment="1" pivotButton="0" quotePrefix="0" xfId="0">
      <alignment horizontal="center" vertical="center"/>
    </xf>
    <xf numFmtId="0" fontId="14" fillId="0" borderId="22" applyAlignment="1" pivotButton="0" quotePrefix="0" xfId="0">
      <alignment horizontal="center" vertical="center"/>
    </xf>
    <xf numFmtId="0" fontId="14" fillId="0" borderId="24" applyAlignment="1" pivotButton="0" quotePrefix="0" xfId="0">
      <alignment horizontal="center" vertical="center"/>
    </xf>
    <xf numFmtId="0" fontId="11" fillId="0" borderId="11" applyAlignment="1" pivotButton="0" quotePrefix="0" xfId="0">
      <alignment horizontal="center"/>
    </xf>
    <xf numFmtId="0" fontId="11" fillId="0" borderId="15" applyAlignment="1" pivotButton="0" quotePrefix="0" xfId="0">
      <alignment horizontal="center"/>
    </xf>
    <xf numFmtId="0" fontId="11" fillId="0" borderId="17" applyAlignment="1" pivotButton="0" quotePrefix="0" xfId="0">
      <alignment horizontal="center"/>
    </xf>
    <xf numFmtId="0" fontId="0" fillId="0" borderId="0" applyProtection="1" pivotButton="0" quotePrefix="0" xfId="0">
      <protection locked="1" hidden="1"/>
    </xf>
    <xf numFmtId="0" fontId="0" fillId="0" borderId="15" applyAlignment="1" pivotButton="0" quotePrefix="0" xfId="0">
      <alignment horizontal="center"/>
    </xf>
    <xf numFmtId="14" fontId="19" fillId="0" borderId="16" applyAlignment="1" applyProtection="1" pivotButton="0" quotePrefix="0" xfId="0">
      <alignment horizontal="left"/>
      <protection locked="0" hidden="0"/>
    </xf>
    <xf numFmtId="0" fontId="0" fillId="0" borderId="4" applyProtection="1" pivotButton="0" quotePrefix="0" xfId="0">
      <protection locked="0" hidden="0"/>
    </xf>
    <xf numFmtId="0" fontId="0" fillId="0" borderId="5" applyProtection="1" pivotButton="0" quotePrefix="0" xfId="0">
      <protection locked="0" hidden="0"/>
    </xf>
    <xf numFmtId="0" fontId="0" fillId="0" borderId="16" applyAlignment="1" pivotButton="0" quotePrefix="0" xfId="0">
      <alignment horizontal="center"/>
    </xf>
    <xf numFmtId="0" fontId="0" fillId="0" borderId="4" pivotButton="0" quotePrefix="0" xfId="0"/>
    <xf numFmtId="0" fontId="0" fillId="0" borderId="5" pivotButton="0" quotePrefix="0" xfId="0"/>
    <xf numFmtId="0" fontId="0" fillId="0" borderId="16" applyAlignment="1" pivotButton="0" quotePrefix="0" xfId="0">
      <alignment horizontal="left"/>
    </xf>
    <xf numFmtId="0" fontId="18" fillId="0" borderId="40" applyAlignment="1" pivotButton="0" quotePrefix="0" xfId="0">
      <alignment horizontal="left"/>
    </xf>
    <xf numFmtId="0" fontId="0" fillId="0" borderId="14" pivotButton="0" quotePrefix="0" xfId="0"/>
    <xf numFmtId="0" fontId="19" fillId="0" borderId="17" applyAlignment="1" applyProtection="1" pivotButton="0" quotePrefix="0" xfId="0">
      <alignment horizontal="center"/>
      <protection locked="0" hidden="0"/>
    </xf>
    <xf numFmtId="0" fontId="0" fillId="0" borderId="14" applyProtection="1" pivotButton="0" quotePrefix="0" xfId="0">
      <protection locked="0" hidden="0"/>
    </xf>
    <xf numFmtId="0" fontId="18" fillId="0" borderId="16" applyAlignment="1" pivotButton="0" quotePrefix="0" xfId="0">
      <alignment horizontal="left"/>
    </xf>
    <xf numFmtId="2" fontId="19" fillId="0" borderId="15" applyAlignment="1" applyProtection="1" pivotButton="0" quotePrefix="0" xfId="0">
      <alignment horizontal="center"/>
      <protection locked="1" hidden="1"/>
    </xf>
    <xf numFmtId="0" fontId="0" fillId="0" borderId="31" applyProtection="1" pivotButton="0" quotePrefix="0" xfId="0">
      <protection locked="1" hidden="1"/>
    </xf>
    <xf numFmtId="0" fontId="18" fillId="0" borderId="39" applyAlignment="1" pivotButton="0" quotePrefix="0" xfId="0">
      <alignment horizontal="left"/>
    </xf>
    <xf numFmtId="0" fontId="19" fillId="0" borderId="16" applyAlignment="1" pivotButton="0" quotePrefix="0" xfId="0">
      <alignment horizontal="center"/>
    </xf>
    <xf numFmtId="0" fontId="19" fillId="0" borderId="16" applyAlignment="1" applyProtection="1" pivotButton="0" quotePrefix="0" xfId="0">
      <alignment horizontal="left"/>
      <protection locked="0" hidden="0"/>
    </xf>
    <xf numFmtId="2" fontId="18" fillId="0" borderId="16" applyAlignment="1" applyProtection="1" pivotButton="0" quotePrefix="0" xfId="0">
      <alignment horizontal="left"/>
      <protection locked="1" hidden="1"/>
    </xf>
    <xf numFmtId="0" fontId="0" fillId="0" borderId="5" applyProtection="1" pivotButton="0" quotePrefix="0" xfId="0">
      <protection locked="1" hidden="1"/>
    </xf>
    <xf numFmtId="2" fontId="29" fillId="0" borderId="16" applyAlignment="1" applyProtection="1" pivotButton="0" quotePrefix="0" xfId="0">
      <alignment horizontal="left"/>
      <protection locked="1" hidden="1"/>
    </xf>
    <xf numFmtId="0" fontId="29" fillId="0" borderId="16" applyAlignment="1" applyProtection="1" pivotButton="0" quotePrefix="0" xfId="0">
      <alignment horizontal="center"/>
      <protection locked="0" hidden="0"/>
    </xf>
    <xf numFmtId="0" fontId="0" fillId="0" borderId="38" pivotButton="0" quotePrefix="0" xfId="0"/>
    <xf numFmtId="0" fontId="18" fillId="0" borderId="34" applyAlignment="1" pivotButton="0" quotePrefix="0" xfId="0">
      <alignment horizontal="center"/>
    </xf>
    <xf numFmtId="49" fontId="19" fillId="0" borderId="24" applyAlignment="1" applyProtection="1" pivotButton="0" quotePrefix="0" xfId="0">
      <alignment horizontal="left" vertical="top"/>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0" fillId="0" borderId="21" applyProtection="1" pivotButton="0" quotePrefix="0" xfId="0">
      <protection locked="0" hidden="0"/>
    </xf>
    <xf numFmtId="0" fontId="0" fillId="0" borderId="22" applyProtection="1" pivotButton="0" quotePrefix="0" xfId="0">
      <protection locked="0" hidden="0"/>
    </xf>
    <xf numFmtId="0" fontId="19" fillId="0" borderId="24" applyAlignment="1" applyProtection="1" pivotButton="0" quotePrefix="0" xfId="0">
      <alignment horizontal="center"/>
      <protection locked="0" hidden="0"/>
    </xf>
    <xf numFmtId="49" fontId="18" fillId="0" borderId="23" applyAlignment="1" applyProtection="1" pivotButton="0" quotePrefix="0" xfId="0">
      <alignment horizontal="left" vertical="top"/>
      <protection locked="0" hidden="0"/>
    </xf>
    <xf numFmtId="0" fontId="0" fillId="0" borderId="34" applyProtection="1" pivotButton="0" quotePrefix="0" xfId="0">
      <protection locked="0" hidden="0"/>
    </xf>
    <xf numFmtId="0" fontId="0" fillId="0" borderId="24" applyAlignment="1" pivotButton="0" quotePrefix="0" xfId="0">
      <alignment horizontal="left"/>
    </xf>
    <xf numFmtId="0" fontId="0" fillId="0" borderId="19" pivotButton="0" quotePrefix="0" xfId="0"/>
    <xf numFmtId="0" fontId="0" fillId="0" borderId="20" pivotButton="0" quotePrefix="0" xfId="0"/>
    <xf numFmtId="0" fontId="19" fillId="0" borderId="23" applyAlignment="1" applyProtection="1" pivotButton="0" quotePrefix="0" xfId="0">
      <alignment horizontal="left"/>
      <protection locked="0" hidden="0"/>
    </xf>
    <xf numFmtId="0" fontId="27" fillId="0" borderId="23" applyAlignment="1" applyProtection="1" pivotButton="0" quotePrefix="0" xfId="0">
      <alignment horizontal="center"/>
      <protection locked="0" hidden="0"/>
    </xf>
    <xf numFmtId="49" fontId="19" fillId="0" borderId="34" applyAlignment="1" pivotButton="0" quotePrefix="0" xfId="0">
      <alignment horizontal="left" vertical="top"/>
    </xf>
    <xf numFmtId="49" fontId="19" fillId="0" borderId="36" applyAlignment="1" pivotButton="0" quotePrefix="0" xfId="0">
      <alignment horizontal="left" vertical="top"/>
    </xf>
    <xf numFmtId="0" fontId="29" fillId="0" borderId="23" applyAlignment="1" applyProtection="1" pivotButton="0" quotePrefix="0" xfId="0">
      <alignment horizontal="center"/>
      <protection locked="0" hidden="0"/>
    </xf>
    <xf numFmtId="0" fontId="18" fillId="0" borderId="24" applyAlignment="1" applyProtection="1" pivotButton="0" quotePrefix="0" xfId="0">
      <alignment horizontal="center"/>
      <protection locked="0" hidden="0"/>
    </xf>
    <xf numFmtId="49" fontId="18" fillId="0" borderId="24" applyAlignment="1" applyProtection="1" pivotButton="0" quotePrefix="0" xfId="0">
      <alignment horizontal="left" vertical="top"/>
      <protection locked="0" hidden="0"/>
    </xf>
    <xf numFmtId="49" fontId="18" fillId="0" borderId="34" applyAlignment="1" applyProtection="1" pivotButton="0" quotePrefix="0" xfId="0">
      <alignment horizontal="left" vertical="top"/>
      <protection locked="0" hidden="0"/>
    </xf>
    <xf numFmtId="0" fontId="0" fillId="0" borderId="27" applyProtection="1" pivotButton="0" quotePrefix="0" xfId="0">
      <protection locked="0" hidden="0"/>
    </xf>
    <xf numFmtId="0" fontId="0" fillId="0" borderId="35" applyProtection="1" pivotButton="0" quotePrefix="0" xfId="0">
      <protection locked="0" hidden="0"/>
    </xf>
    <xf numFmtId="0" fontId="21" fillId="0" borderId="34" applyAlignment="1" pivotButton="0" quotePrefix="0" xfId="0">
      <alignment horizontal="left" vertical="center"/>
    </xf>
    <xf numFmtId="0" fontId="19" fillId="0" borderId="36" applyAlignment="1" applyProtection="1" pivotButton="0" quotePrefix="0" xfId="0">
      <alignment horizontal="center"/>
      <protection locked="0" hidden="0"/>
    </xf>
    <xf numFmtId="0" fontId="0" fillId="0" borderId="29" applyProtection="1" pivotButton="0" quotePrefix="0" xfId="0">
      <protection locked="0" hidden="0"/>
    </xf>
    <xf numFmtId="0" fontId="0" fillId="0" borderId="26" pivotButton="0" quotePrefix="0" xfId="0"/>
    <xf numFmtId="0" fontId="0" fillId="0" borderId="1" applyProtection="1" pivotButton="0" quotePrefix="0" xfId="0">
      <protection locked="0" hidden="0"/>
    </xf>
    <xf numFmtId="0" fontId="18" fillId="0" borderId="24" applyAlignment="1" pivotButton="0" quotePrefix="0" xfId="0">
      <alignment horizontal="left"/>
    </xf>
    <xf numFmtId="15" fontId="7" fillId="0" borderId="16" applyAlignment="1" pivotButton="0" quotePrefix="0" xfId="0">
      <alignment horizontal="center"/>
    </xf>
    <xf numFmtId="1" fontId="10" fillId="0" borderId="16" applyAlignment="1" pivotButton="0" quotePrefix="0" xfId="0">
      <alignment horizontal="center"/>
    </xf>
    <xf numFmtId="1" fontId="10" fillId="0" borderId="11" applyAlignment="1" pivotButton="0" quotePrefix="0" xfId="0">
      <alignment horizontal="center"/>
    </xf>
    <xf numFmtId="0" fontId="0" fillId="0" borderId="9" pivotButton="0" quotePrefix="0" xfId="0"/>
    <xf numFmtId="0" fontId="0" fillId="0" borderId="10" pivotButton="0" quotePrefix="0" xfId="0"/>
    <xf numFmtId="1" fontId="7" fillId="0" borderId="16" applyAlignment="1" pivotButton="0" quotePrefix="0" xfId="0">
      <alignment horizontal="center"/>
    </xf>
    <xf numFmtId="1" fontId="10" fillId="0" borderId="17" applyAlignment="1" pivotButton="0" quotePrefix="0" xfId="0">
      <alignment horizontal="center"/>
    </xf>
    <xf numFmtId="0" fontId="0" fillId="0" borderId="13" pivotButton="0" quotePrefix="0" xfId="0"/>
    <xf numFmtId="0" fontId="11" fillId="0" borderId="16" applyAlignment="1" pivotButton="0" quotePrefix="0" xfId="0">
      <alignment horizontal="center"/>
    </xf>
    <xf numFmtId="14" fontId="7" fillId="0" borderId="16" applyAlignment="1" pivotButton="0" quotePrefix="0" xfId="0">
      <alignment horizontal="center"/>
    </xf>
    <xf numFmtId="0" fontId="0" fillId="0" borderId="15" pivotButton="0" quotePrefix="0" xfId="0"/>
    <xf numFmtId="0" fontId="7" fillId="0" borderId="16" applyAlignment="1" pivotButton="0" quotePrefix="0" xfId="0">
      <alignment horizontal="center"/>
    </xf>
    <xf numFmtId="0" fontId="0" fillId="0" borderId="17" pivotButton="0" quotePrefix="0" xfId="0"/>
  </cellXfs>
  <cellStyles count="3">
    <cellStyle name="Normal" xfId="0" builtinId="0"/>
    <cellStyle name="Estilo 1" xfId="1"/>
    <cellStyle name="Normal 2" xfId="2"/>
  </cellStyles>
  <dxfs count="8">
    <dxf>
      <font>
        <name val="Arial"/>
        <family val="2"/>
        <strike val="0"/>
        <color theme="1"/>
        <sz val="12"/>
      </font>
    </dxf>
    <dxf>
      <font>
        <name val="Arial"/>
        <family val="2"/>
        <strike val="0"/>
        <color theme="1"/>
        <sz val="11"/>
      </font>
      <protection locked="0" hidden="0"/>
    </dxf>
    <dxf>
      <protection locked="0" hidden="0"/>
    </dxf>
    <dxf>
      <font>
        <name val="Arial"/>
        <family val="2"/>
        <strike val="0"/>
        <sz val="10"/>
      </font>
    </dxf>
    <dxf>
      <font>
        <name val="Arial"/>
        <family val="2"/>
        <strike val="0"/>
        <sz val="10"/>
      </font>
    </dxf>
    <dxf>
      <fill>
        <patternFill/>
      </fill>
    </dxf>
    <dxf>
      <fill>
        <patternFill/>
      </fill>
    </dxf>
    <dxf>
      <fill>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checked="Checked" noThreeD="1"/>
</file>

<file path=xl/ctrlProps/ctrlProp3.xml><?xml version="1.0" encoding="utf-8"?>
<formControlPr xmlns="http://schemas.microsoft.com/office/spreadsheetml/2009/9/main" objectType="CheckBox" checked="Checked"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oneCell">
    <from>
      <col>0</col>
      <colOff>28575</colOff>
      <row>0</row>
      <rowOff>0</rowOff>
    </from>
    <to>
      <col>1</col>
      <colOff>466725</colOff>
      <row>3</row>
      <rowOff>114300</rowOff>
    </to>
    <pic>
      <nvPicPr>
        <cNvPr id="2" name="1 Imagen"/>
        <cNvPicPr>
          <a:picLocks xmlns:a="http://schemas.openxmlformats.org/drawingml/2006/main" noChangeAspect="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a:xfrm xmlns:a="http://schemas.openxmlformats.org/drawingml/2006/main">
          <a:off x="28575" y="0"/>
          <a:ext cx="1114425" cy="880110"/>
        </a:xfrm>
        <a:prstGeom xmlns:a="http://schemas.openxmlformats.org/drawingml/2006/main" prst="rect">
          <avLst/>
        </a:prstGeom>
        <a:noFill xmlns:a="http://schemas.openxmlformats.org/drawingml/2006/main"/>
        <a:ln xmlns:a="http://schemas.openxmlformats.org/drawingml/2006/main">
          <a:noFill/>
          <a:prstDash val="solid"/>
        </a:ln>
      </spPr>
    </pic>
    <clientData/>
  </twoCellAnchor>
</wsDr>
</file>

<file path=xl/tables/table1.xml><?xml version="1.0" encoding="utf-8"?>
<table xmlns="http://schemas.openxmlformats.org/spreadsheetml/2006/main" id="1" name="Tabla3" displayName="Tabla3" ref="D1:E1048576" headerRowCount="1" totalsRowShown="0">
  <tableColumns count="2">
    <tableColumn id="1" name="COD_ARTICU" dataDxfId="4"/>
    <tableColumn id="2" name="NOM_ARTICU" dataDxfId="3"/>
  </tableColumns>
  <tableStyleInfo name="TableStyleMedium2" showFirstColumn="0" showLastColumn="0" showRowStripes="1" showColumnStripes="0"/>
</table>
</file>

<file path=xl/tables/table2.xml><?xml version="1.0" encoding="utf-8"?>
<table xmlns="http://schemas.openxmlformats.org/spreadsheetml/2006/main" id="2" name="Tabla1" displayName="Tabla1" ref="A2:A19" headerRowCount="1" totalsRowShown="0">
  <autoFilter ref="A2:A19"/>
  <tableColumns count="1">
    <tableColumn id="1" name="SA" dataDxfId="2"/>
  </tableColumns>
  <tableStyleInfo name="TableStyleMedium2" showFirstColumn="0" showLastColumn="0" showRowStripes="1" showColumnStripes="0"/>
</table>
</file>

<file path=xl/tables/table3.xml><?xml version="1.0" encoding="utf-8"?>
<table xmlns="http://schemas.openxmlformats.org/spreadsheetml/2006/main" id="3" name="Tabla2" displayName="Tabla2" ref="C2:C6" headerRowCount="1" totalsRowShown="0">
  <autoFilter ref="C2:C6"/>
  <tableColumns count="1">
    <tableColumn id="1" name="RASS" dataDxfId="1"/>
  </tableColumns>
  <tableStyleInfo name="TableStyleMedium2" showFirstColumn="0" showLastColumn="0" showRowStripes="1" showColumnStripes="0"/>
</table>
</file>

<file path=xl/tables/table4.xml><?xml version="1.0" encoding="utf-8"?>
<table xmlns="http://schemas.openxmlformats.org/spreadsheetml/2006/main" id="4" name="Tabla4" displayName="Tabla4" ref="E2:E12" headerRowCount="1" totalsRowShown="0">
  <autoFilter ref="E2:E12"/>
  <tableColumns count="1">
    <tableColumn id="1" name="CAMAS"/>
  </tableColumns>
  <tableStyleInfo name="TableStyleMedium2" showFirstColumn="0" showLastColumn="0" showRowStripes="1" showColumnStripes="0"/>
</table>
</file>

<file path=xl/tables/table5.xml><?xml version="1.0" encoding="utf-8"?>
<table xmlns="http://schemas.openxmlformats.org/spreadsheetml/2006/main" id="5" name="Tabla5" displayName="Tabla5" ref="G2:G6" headerRowCount="1" totalsRowShown="0">
  <autoFilter ref="G2:G6"/>
  <tableColumns count="1">
    <tableColumn id="1" name="VM"/>
  </tableColumns>
  <tableStyleInfo name="TableStyleMedium2" showFirstColumn="0" showLastColumn="0" showRowStripes="1" showColumnStripes="0"/>
</table>
</file>

<file path=xl/tables/table6.xml><?xml version="1.0" encoding="utf-8"?>
<table xmlns="http://schemas.openxmlformats.org/spreadsheetml/2006/main" id="6" name="Tabla6" displayName="Tabla6" ref="I2:I8" headerRowCount="1" totalsRowShown="0">
  <autoFilter ref="I2:I8"/>
  <tableColumns count="1">
    <tableColumn id="1" name="AISLAMIENTO"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_rels/sheet4.xml.rels><Relationships xmlns="http://schemas.openxmlformats.org/package/2006/relationships"><Relationship Type="http://schemas.openxmlformats.org/officeDocument/2006/relationships/table" Target="/xl/tables/table2.xml" Id="rId1"/><Relationship Type="http://schemas.openxmlformats.org/officeDocument/2006/relationships/table" Target="/xl/tables/table3.xml" Id="rId2"/><Relationship Type="http://schemas.openxmlformats.org/officeDocument/2006/relationships/table" Target="/xl/tables/table4.xml" Id="rId3"/><Relationship Type="http://schemas.openxmlformats.org/officeDocument/2006/relationships/table" Target="/xl/tables/table5.xml" Id="rId4"/><Relationship Type="http://schemas.openxmlformats.org/officeDocument/2006/relationships/table" Target="/xl/tables/table6.xml" Id="rId5"/></Relationships>
</file>

<file path=xl/worksheets/sheet1.xml><?xml version="1.0" encoding="utf-8"?>
<worksheet xmlns="http://schemas.openxmlformats.org/spreadsheetml/2006/main">
  <sheetPr codeName="Hoja1">
    <outlinePr summaryBelow="1" summaryRight="1"/>
    <pageSetUpPr/>
  </sheetPr>
  <dimension ref="A1:AX200"/>
  <sheetViews>
    <sheetView tabSelected="1" topLeftCell="A7" zoomScale="98" zoomScaleNormal="98" workbookViewId="0">
      <selection activeCell="B30" sqref="B30:D30"/>
    </sheetView>
  </sheetViews>
  <sheetFormatPr baseColWidth="10" defaultColWidth="11" defaultRowHeight="20.1" customHeight="1"/>
  <cols>
    <col width="8.875" customWidth="1" min="1" max="1"/>
    <col width="12.875" customWidth="1" min="2" max="2"/>
    <col width="16.25" customWidth="1" min="3" max="3"/>
    <col width="13.5" customWidth="1" min="4" max="4"/>
    <col width="7.125" customWidth="1" min="5" max="5"/>
    <col width="10.625" customWidth="1" min="6" max="6"/>
    <col width="5.875" customWidth="1" min="7" max="7"/>
    <col width="11.125" customWidth="1" min="8" max="8"/>
    <col width="6.5" customWidth="1" min="9" max="9"/>
    <col width="9" customWidth="1" min="10" max="10"/>
    <col width="6.875" customWidth="1" min="11" max="11"/>
    <col width="11.75" customWidth="1" min="12" max="12"/>
    <col width="5.75" customWidth="1" min="13" max="13"/>
    <col width="9" customWidth="1" min="14" max="14"/>
    <col width="6.25" customWidth="1" min="15" max="15"/>
    <col width="10.25" customWidth="1" min="16" max="16"/>
    <col width="28" customWidth="1" min="18" max="18"/>
  </cols>
  <sheetData>
    <row r="1" ht="20.1" customHeight="1">
      <c r="A1" s="42" t="n"/>
      <c r="B1" s="43" t="n"/>
      <c r="C1" s="43" t="n"/>
      <c r="D1" s="43" t="n"/>
      <c r="E1" s="43" t="n"/>
      <c r="F1" s="43" t="n"/>
      <c r="G1" s="43" t="n"/>
      <c r="H1" s="43" t="n"/>
      <c r="I1" s="43" t="n"/>
      <c r="J1" s="43" t="n"/>
      <c r="K1" s="43" t="n"/>
      <c r="L1" s="43" t="n"/>
      <c r="M1" s="43" t="n"/>
      <c r="N1" s="43" t="n"/>
      <c r="O1" s="93" t="n"/>
      <c r="P1" s="94" t="n"/>
      <c r="T1" s="106" t="n"/>
    </row>
    <row r="2" ht="20.1" customHeight="1">
      <c r="A2" s="44" t="n"/>
      <c r="B2" s="45" t="n"/>
      <c r="C2" s="130" t="inlineStr">
        <is>
          <t>INDICACIONES MÉDICAS UPC PEDIATRICA</t>
        </is>
      </c>
      <c r="D2" s="1" t="n"/>
      <c r="E2" s="1" t="n"/>
      <c r="F2" s="1" t="n"/>
      <c r="G2" s="1" t="n"/>
      <c r="H2" s="45" t="n"/>
      <c r="I2" s="45" t="n"/>
      <c r="J2" s="45" t="n"/>
      <c r="K2" s="45" t="n"/>
      <c r="L2" s="45" t="n"/>
      <c r="M2" s="45" t="n"/>
      <c r="N2" s="45" t="n"/>
      <c r="P2" s="95" t="n"/>
    </row>
    <row r="3" ht="20.1" customHeight="1">
      <c r="A3" s="44" t="n"/>
      <c r="B3" s="45" t="n"/>
      <c r="C3" s="130" t="inlineStr">
        <is>
          <t>HOSPITAL BASE VALDIVIA</t>
        </is>
      </c>
      <c r="D3" s="1" t="n"/>
      <c r="E3" s="1" t="n"/>
      <c r="F3" s="1" t="n"/>
      <c r="G3" s="46" t="n"/>
      <c r="H3" s="45" t="n"/>
      <c r="I3" s="45" t="n"/>
      <c r="J3" s="45" t="n"/>
      <c r="K3" s="45" t="n"/>
      <c r="L3" s="45" t="n"/>
      <c r="M3" s="45" t="n"/>
      <c r="N3" s="45" t="n"/>
      <c r="P3" s="95" t="n"/>
    </row>
    <row r="4" ht="20.1" customHeight="1">
      <c r="A4" s="44" t="n"/>
      <c r="B4" s="45" t="n"/>
      <c r="C4" s="45" t="n"/>
      <c r="D4" s="45" t="n"/>
      <c r="E4" s="45" t="n"/>
      <c r="F4" s="45" t="n"/>
      <c r="G4" s="45" t="n"/>
      <c r="H4" s="45" t="n"/>
      <c r="I4" s="45" t="n"/>
      <c r="J4" s="45" t="n"/>
      <c r="K4" s="45" t="n"/>
      <c r="L4" s="45" t="n"/>
      <c r="M4" s="45" t="n"/>
      <c r="N4" s="45" t="n"/>
      <c r="P4" s="95" t="n"/>
    </row>
    <row r="5" ht="20.1" customHeight="1">
      <c r="A5" s="47" t="n"/>
      <c r="B5" s="48" t="n"/>
      <c r="C5" s="48" t="n"/>
      <c r="D5" s="48" t="n"/>
      <c r="E5" s="48" t="n"/>
      <c r="F5" s="48" t="n"/>
      <c r="G5" s="48" t="n"/>
      <c r="H5" s="48" t="n"/>
      <c r="I5" s="48" t="n"/>
      <c r="J5" s="48" t="n"/>
      <c r="K5" s="48" t="n"/>
      <c r="L5" s="48" t="n"/>
      <c r="M5" s="48" t="n"/>
      <c r="N5" s="48" t="n"/>
      <c r="O5" s="96" t="n"/>
      <c r="P5" s="97" t="n"/>
      <c r="R5" s="126" t="inlineStr">
        <is>
          <t>NOTA: NO HACER COPIA DE ESTA HOJA DE INDICACIONES MEDICAS</t>
        </is>
      </c>
      <c r="S5" s="127" t="n"/>
      <c r="T5" s="127" t="n"/>
      <c r="U5" s="127" t="n"/>
      <c r="V5" s="127" t="n"/>
    </row>
    <row r="6" ht="20.1" customHeight="1" thickBot="1">
      <c r="A6" s="49" t="inlineStr">
        <is>
          <t xml:space="preserve">Fecha </t>
        </is>
      </c>
      <c r="B6" s="50">
        <f>NOW()</f>
        <v/>
      </c>
      <c r="C6" s="51" t="inlineStr">
        <is>
          <t xml:space="preserve">  Fecha Ingreso</t>
        </is>
      </c>
      <c r="D6" s="52" t="inlineStr">
        <is>
          <t>{{fechaIngreso}}</t>
        </is>
      </c>
      <c r="E6" s="53" t="inlineStr">
        <is>
          <t>F.Nac.</t>
        </is>
      </c>
      <c r="F6" s="54" t="inlineStr">
        <is>
          <t>{{fechaNacimiento}}</t>
        </is>
      </c>
      <c r="G6" s="55" t="inlineStr">
        <is>
          <t>Hora</t>
        </is>
      </c>
      <c r="H6" s="56" t="inlineStr">
        <is>
          <t>{{hora}}</t>
        </is>
      </c>
      <c r="I6" s="98" t="inlineStr">
        <is>
          <t>Edad</t>
        </is>
      </c>
      <c r="J6" s="132">
        <f>DATEDIF(F6,B6,"y")&amp;" a + "&amp;DATEDIF(F6,B6,"Ym")&amp;" m + "&amp;DATEDIF(F6,B6,"md")&amp;" d "</f>
        <v/>
      </c>
      <c r="K6" s="255" t="n"/>
      <c r="L6" s="99" t="inlineStr">
        <is>
          <t>Cama</t>
        </is>
      </c>
      <c r="M6" s="100" t="inlineStr">
        <is>
          <t>UCI 2</t>
        </is>
      </c>
      <c r="N6" s="53" t="inlineStr">
        <is>
          <t xml:space="preserve">Sexo </t>
        </is>
      </c>
      <c r="O6" s="256" t="inlineStr">
        <is>
          <t>F</t>
        </is>
      </c>
      <c r="P6" s="106" t="n"/>
      <c r="R6" s="126" t="inlineStr">
        <is>
          <t>NO BORRAR LAS FORMULAS  EN DIAS DE HOSPITALIZACION, PESO IDEAL, SCT, VOLUMEN,VFG, REB</t>
        </is>
      </c>
      <c r="S6" s="127" t="n"/>
      <c r="T6" s="127" t="n"/>
      <c r="U6" s="127" t="n"/>
      <c r="V6" s="127" t="n"/>
    </row>
    <row r="7" ht="20.1" customHeight="1" thickBot="1">
      <c r="A7" s="57" t="inlineStr">
        <is>
          <t>Nombre</t>
        </is>
      </c>
      <c r="B7" s="257" t="inlineStr">
        <is>
          <t>{{nombrePaciente}}</t>
        </is>
      </c>
      <c r="C7" s="258" t="n"/>
      <c r="D7" s="258" t="n"/>
      <c r="E7" s="258" t="n"/>
      <c r="F7" s="258" t="n"/>
      <c r="G7" s="258" t="n"/>
      <c r="H7" s="259" t="n"/>
      <c r="I7" s="101" t="inlineStr">
        <is>
          <t>RUT</t>
        </is>
      </c>
      <c r="J7" s="260" t="inlineStr">
        <is>
          <t>27773938-0</t>
        </is>
      </c>
      <c r="K7" s="261" t="n"/>
      <c r="L7" s="261" t="n"/>
      <c r="M7" s="262" t="n"/>
      <c r="N7" s="57" t="inlineStr">
        <is>
          <t>Ficha</t>
        </is>
      </c>
      <c r="O7" s="263" t="n">
        <v>683398</v>
      </c>
      <c r="P7" s="262" t="n"/>
      <c r="R7" s="127" t="inlineStr">
        <is>
          <t>El peso ideal aplica para aquellos pac. que tienen una talla &gt;150cm</t>
        </is>
      </c>
      <c r="S7" s="127" t="n"/>
      <c r="T7" s="127" t="n"/>
      <c r="U7" s="127" t="n"/>
      <c r="V7" s="127" t="n"/>
    </row>
    <row r="8" ht="20.1" customHeight="1" thickBot="1">
      <c r="A8" s="264" t="inlineStr">
        <is>
          <t xml:space="preserve">Días Hospitalización </t>
        </is>
      </c>
      <c r="B8" s="265" t="n"/>
      <c r="C8" s="58" t="inlineStr">
        <is>
          <t>{{diasHospitalizacion}}</t>
        </is>
      </c>
      <c r="D8" s="53" t="inlineStr">
        <is>
          <t>Peso (kg):</t>
        </is>
      </c>
      <c r="E8" s="125" t="inlineStr">
        <is>
          <t>{{peso}}</t>
        </is>
      </c>
      <c r="F8" s="59" t="inlineStr">
        <is>
          <t>Peso Ideal</t>
        </is>
      </c>
      <c r="G8" s="266" t="inlineStr">
        <is>
          <t>{{pesoIdeal}}</t>
        </is>
      </c>
      <c r="H8" s="267" t="n"/>
      <c r="I8" s="268" t="inlineStr">
        <is>
          <t>Talla cm</t>
        </is>
      </c>
      <c r="J8" s="262" t="n"/>
      <c r="K8" s="102" t="n">
        <v>91</v>
      </c>
      <c r="L8" s="112" t="inlineStr">
        <is>
          <t>SCTm2 &lt;10kg</t>
        </is>
      </c>
      <c r="M8" s="269" t="n"/>
      <c r="N8" s="255" t="n"/>
      <c r="O8" s="255" t="n"/>
      <c r="P8" s="270" t="n"/>
      <c r="Q8" s="107" t="n"/>
      <c r="R8" s="127" t="n"/>
      <c r="S8" s="127" t="n"/>
      <c r="T8" s="127" t="n"/>
      <c r="U8" s="127" t="n"/>
      <c r="V8" s="127" t="n"/>
    </row>
    <row r="9" ht="20.1" customHeight="1" thickBot="1">
      <c r="A9" s="271" t="inlineStr">
        <is>
          <t>Médico Responsable</t>
        </is>
      </c>
      <c r="B9" s="262" t="n"/>
      <c r="C9" s="153" t="inlineStr">
        <is>
          <t>{{medicoResponsable}}</t>
        </is>
      </c>
      <c r="D9" s="258" t="n"/>
      <c r="E9" s="258" t="n"/>
      <c r="F9" s="258" t="n"/>
      <c r="G9" s="258" t="n"/>
      <c r="H9" s="258" t="n"/>
      <c r="I9" s="258" t="n"/>
      <c r="J9" s="258" t="n"/>
      <c r="K9" s="258" t="n"/>
      <c r="L9" s="111" t="inlineStr">
        <is>
          <t>SCTm2  &gt;10kg</t>
        </is>
      </c>
      <c r="M9" s="272" t="inlineStr">
        <is>
          <t>0.55</t>
        </is>
      </c>
      <c r="N9" s="261" t="n"/>
      <c r="O9" s="261" t="n"/>
      <c r="P9" s="262" t="n"/>
      <c r="Q9" s="108" t="n"/>
      <c r="R9" s="108" t="n"/>
    </row>
    <row r="10" ht="20.1" customHeight="1" thickBot="1">
      <c r="A10" s="268" t="inlineStr">
        <is>
          <t>Diagnósticos:</t>
        </is>
      </c>
      <c r="B10" s="262" t="n"/>
      <c r="C10" s="273" t="inlineStr">
        <is>
          <t>{{diagnostico}}</t>
        </is>
      </c>
      <c r="D10" s="258" t="n"/>
      <c r="E10" s="258" t="n"/>
      <c r="F10" s="258" t="n"/>
      <c r="G10" s="258" t="n"/>
      <c r="H10" s="258" t="n"/>
      <c r="I10" s="258" t="n"/>
      <c r="J10" s="258" t="n"/>
      <c r="K10" s="258" t="n"/>
      <c r="L10" s="258" t="n"/>
      <c r="M10" s="258" t="n"/>
      <c r="N10" s="258" t="n"/>
      <c r="O10" s="258" t="n"/>
      <c r="P10" s="259" t="n"/>
    </row>
    <row r="11" ht="20.1" customHeight="1" thickBot="1">
      <c r="A11" s="274" t="inlineStr">
        <is>
          <t>VOLUMEN HOLLIDAY</t>
        </is>
      </c>
      <c r="B11" s="275" t="n"/>
      <c r="C11" s="144" t="n"/>
      <c r="D11" s="276" t="inlineStr">
        <is>
          <t>VOLUMEN *SC &lt;10kg</t>
        </is>
      </c>
      <c r="E11" s="275" t="n"/>
      <c r="F11" s="119" t="n"/>
      <c r="G11" s="169" t="inlineStr">
        <is>
          <t>VOLUMEN *SC &gt;10kg</t>
        </is>
      </c>
      <c r="H11" s="261" t="n"/>
      <c r="I11" s="120" t="n"/>
      <c r="J11" s="113" t="inlineStr">
        <is>
          <t>CREA</t>
        </is>
      </c>
      <c r="K11" s="121" t="inlineStr">
        <is>
          <t>0.32</t>
        </is>
      </c>
      <c r="L11" s="118" t="inlineStr">
        <is>
          <t>VFG</t>
        </is>
      </c>
      <c r="M11" s="122" t="n"/>
      <c r="N11" s="114" t="inlineStr">
        <is>
          <t>REB</t>
        </is>
      </c>
      <c r="O11" s="277" t="n"/>
      <c r="P11" s="259" t="n"/>
    </row>
    <row r="12" ht="20.1" customHeight="1" thickBot="1">
      <c r="A12" s="172" t="inlineStr">
        <is>
          <t>VOLUMEN HOLLIDAY</t>
        </is>
      </c>
      <c r="B12" s="278" t="n"/>
      <c r="C12" s="128" t="n"/>
      <c r="D12" s="96" t="n"/>
      <c r="E12" s="96" t="n"/>
      <c r="F12" s="62" t="n"/>
      <c r="G12" s="62" t="n"/>
      <c r="H12" s="62" t="n"/>
      <c r="I12" s="62" t="n"/>
      <c r="J12" s="62" t="n"/>
      <c r="K12" s="62" t="n"/>
      <c r="L12" s="62" t="n"/>
      <c r="M12" s="62" t="n"/>
      <c r="N12" s="62" t="n"/>
      <c r="O12" s="96" t="n"/>
      <c r="P12" s="97" t="n"/>
    </row>
    <row r="13" ht="20.1" customHeight="1">
      <c r="A13" s="60" t="inlineStr">
        <is>
          <t xml:space="preserve">Hora </t>
        </is>
      </c>
      <c r="B13" s="61" t="inlineStr">
        <is>
          <t>Indicaciones médicas</t>
        </is>
      </c>
      <c r="C13" s="62" t="n"/>
      <c r="D13" s="62" t="n"/>
      <c r="E13" s="62" t="n"/>
      <c r="F13" s="62" t="n"/>
      <c r="G13" s="279" t="n"/>
      <c r="H13" s="96" t="n"/>
      <c r="I13" s="96" t="n"/>
      <c r="J13" s="96" t="n"/>
      <c r="K13" s="96" t="n"/>
      <c r="L13" s="96" t="n"/>
      <c r="M13" s="96" t="n"/>
      <c r="N13" s="96" t="n"/>
      <c r="O13" s="96" t="n"/>
      <c r="P13" s="97" t="n"/>
    </row>
    <row r="14" ht="20.1" customHeight="1">
      <c r="A14" s="63" t="n"/>
      <c r="B14" s="64" t="inlineStr">
        <is>
          <t>REPOSO</t>
        </is>
      </c>
      <c r="C14" s="280" t="inlineStr">
        <is>
          <t>UCI</t>
        </is>
      </c>
      <c r="D14" s="281" t="n"/>
      <c r="E14" s="281" t="n"/>
      <c r="F14" s="281" t="n"/>
      <c r="G14" s="281" t="n"/>
      <c r="H14" s="281" t="n"/>
      <c r="I14" s="281" t="n"/>
      <c r="J14" s="281" t="n"/>
      <c r="K14" s="281" t="n"/>
      <c r="L14" s="281" t="n"/>
      <c r="M14" s="281" t="n"/>
      <c r="N14" s="281" t="n"/>
      <c r="O14" s="281" t="n"/>
      <c r="P14" s="282" t="n"/>
    </row>
    <row r="15" ht="20.1" customHeight="1">
      <c r="A15" s="65" t="n"/>
      <c r="B15" s="66" t="inlineStr">
        <is>
          <t xml:space="preserve">LA: </t>
        </is>
      </c>
      <c r="C15" s="66" t="inlineStr">
        <is>
          <t xml:space="preserve">SNG: </t>
        </is>
      </c>
      <c r="D15" s="66" t="inlineStr">
        <is>
          <t>SF:</t>
        </is>
      </c>
      <c r="E15" s="66" t="inlineStr">
        <is>
          <t xml:space="preserve">DU </t>
        </is>
      </c>
      <c r="F15" s="109" t="inlineStr">
        <is>
          <t xml:space="preserve">x horario </t>
        </is>
      </c>
      <c r="G15" s="66" t="inlineStr">
        <is>
          <t>BH</t>
        </is>
      </c>
      <c r="H15" s="109" t="inlineStr">
        <is>
          <t>c/6 hr</t>
        </is>
      </c>
      <c r="I15" s="66" t="inlineStr">
        <is>
          <t>CVC</t>
        </is>
      </c>
      <c r="J15" s="66" t="inlineStr">
        <is>
          <t>YD 3L</t>
        </is>
      </c>
      <c r="K15" s="66" t="n"/>
      <c r="L15" s="66" t="n"/>
      <c r="M15" s="66" t="n"/>
      <c r="N15" s="66" t="n"/>
      <c r="O15" s="103" t="n"/>
      <c r="P15" s="103" t="n"/>
    </row>
    <row r="16" ht="20.1" customHeight="1">
      <c r="A16" s="67" t="n"/>
      <c r="B16" s="64" t="inlineStr">
        <is>
          <t>AISLAMIENTO</t>
        </is>
      </c>
      <c r="C16" s="175" t="inlineStr">
        <is>
          <t>GOTITAS +CONTACTO</t>
        </is>
      </c>
      <c r="D16" s="283" t="n"/>
      <c r="E16" s="283" t="n"/>
      <c r="F16" s="284" t="n"/>
      <c r="G16" s="68" t="n"/>
      <c r="H16" s="69" t="n"/>
      <c r="I16" s="86" t="inlineStr">
        <is>
          <t>SVC</t>
        </is>
      </c>
      <c r="J16" s="69" t="inlineStr">
        <is>
          <t>c/12 hr</t>
        </is>
      </c>
      <c r="K16" s="86" t="n"/>
      <c r="L16" s="69" t="n"/>
      <c r="M16" s="104" t="n"/>
      <c r="N16" s="69" t="n"/>
      <c r="O16" s="105" t="n"/>
      <c r="P16" s="105" t="n"/>
    </row>
    <row r="17" ht="20.1" customHeight="1">
      <c r="A17" s="285" t="n"/>
      <c r="B17" s="71" t="inlineStr">
        <is>
          <t>REGIMEN</t>
        </is>
      </c>
      <c r="C17" s="286" t="inlineStr">
        <is>
          <t>Cero</t>
        </is>
      </c>
      <c r="D17" s="283" t="n"/>
      <c r="E17" s="283" t="n"/>
      <c r="F17" s="283" t="n"/>
      <c r="G17" s="283" t="n"/>
      <c r="H17" s="283" t="n"/>
      <c r="I17" s="283" t="n"/>
      <c r="J17" s="283" t="n"/>
      <c r="K17" s="283" t="n"/>
      <c r="L17" s="283" t="n"/>
      <c r="M17" s="283" t="n"/>
      <c r="N17" s="283" t="n"/>
      <c r="O17" s="283" t="n"/>
      <c r="P17" s="284" t="n"/>
    </row>
    <row r="18" ht="20.1" customHeight="1">
      <c r="A18" s="287" t="n"/>
      <c r="B18" s="288" t="inlineStr">
        <is>
          <t xml:space="preserve"> </t>
        </is>
      </c>
      <c r="C18" s="289" t="n"/>
      <c r="D18" s="289" t="n"/>
      <c r="E18" s="289" t="n"/>
      <c r="F18" s="289" t="n"/>
      <c r="G18" s="289" t="n"/>
      <c r="H18" s="289" t="n"/>
      <c r="I18" s="289" t="n"/>
      <c r="J18" s="289" t="n"/>
      <c r="K18" s="289" t="n"/>
      <c r="L18" s="289" t="n"/>
      <c r="M18" s="289" t="n"/>
      <c r="N18" s="289" t="n"/>
      <c r="O18" s="289" t="n"/>
      <c r="P18" s="290" t="n"/>
    </row>
    <row r="19" ht="20.1" customHeight="1">
      <c r="A19" s="72" t="inlineStr">
        <is>
          <t>VM</t>
        </is>
      </c>
      <c r="B19" s="291" t="inlineStr">
        <is>
          <t>VMI</t>
        </is>
      </c>
      <c r="C19" s="283" t="n"/>
      <c r="D19" s="283" t="n"/>
      <c r="E19" s="283" t="n"/>
      <c r="F19" s="284" t="n"/>
      <c r="G19" s="292" t="inlineStr">
        <is>
          <t>PA: p5 73/39 p10 77/42 p50 90/55 p90 107/68 p95 111/72 p95+12 123/84 PAM: 50-85</t>
        </is>
      </c>
      <c r="H19" s="283" t="n"/>
      <c r="I19" s="283" t="n"/>
      <c r="J19" s="283" t="n"/>
      <c r="K19" s="283" t="n"/>
      <c r="L19" s="283" t="n"/>
      <c r="M19" s="283" t="n"/>
      <c r="N19" s="283" t="n"/>
      <c r="O19" s="283" t="n"/>
      <c r="P19" s="284" t="n"/>
    </row>
    <row r="20" ht="20.1" customHeight="1">
      <c r="A20" s="65" t="n"/>
      <c r="B20" s="186" t="inlineStr">
        <is>
          <t>AC/VC 6.5 ml/kg FR 27 Ti 0.6 PEEP 6 y FiO2 para saturación entre 90-93%</t>
        </is>
      </c>
      <c r="C20" s="281" t="n"/>
      <c r="D20" s="281" t="n"/>
      <c r="E20" s="281" t="n"/>
      <c r="F20" s="281" t="n"/>
      <c r="G20" s="281" t="n"/>
      <c r="H20" s="281" t="n"/>
      <c r="I20" s="281" t="n"/>
      <c r="J20" s="281" t="n"/>
      <c r="K20" s="281" t="n"/>
      <c r="L20" s="281" t="n"/>
      <c r="M20" s="281" t="n"/>
      <c r="N20" s="281" t="n"/>
      <c r="O20" s="281" t="n"/>
      <c r="P20" s="282" t="n"/>
    </row>
    <row r="21" ht="20.1" customHeight="1">
      <c r="A21" s="73" t="inlineStr">
        <is>
          <t>SA</t>
        </is>
      </c>
      <c r="B21" s="293" t="inlineStr">
        <is>
          <t>ESQUEMA 1  FENTANILO Paj   AMPOLLA  0,5mg/10ml-MIDAZOLAM PI  AMPOLLA 50mg/10ml</t>
        </is>
      </c>
      <c r="C21" s="96" t="n"/>
      <c r="D21" s="96" t="n"/>
      <c r="E21" s="96" t="n"/>
      <c r="F21" s="96" t="n"/>
      <c r="G21" s="96" t="n"/>
      <c r="H21" s="96" t="n"/>
      <c r="I21" s="96" t="n"/>
      <c r="J21" s="96" t="n"/>
      <c r="K21" s="96" t="n"/>
      <c r="L21" s="96" t="n"/>
      <c r="M21" s="96" t="n"/>
      <c r="N21" s="96" t="n"/>
      <c r="O21" s="96" t="n"/>
      <c r="P21" s="97" t="n"/>
    </row>
    <row r="22" ht="20.1" customHeight="1" thickBot="1">
      <c r="A22" s="74" t="inlineStr">
        <is>
          <t>ESC</t>
        </is>
      </c>
      <c r="B22" s="294" t="inlineStr">
        <is>
          <t>5</t>
        </is>
      </c>
      <c r="F22" s="95" t="n"/>
      <c r="G22" s="295" t="inlineStr">
        <is>
          <t>Semisentada / Cuidados de tubo pleural a -20cm a las 12 hrs</t>
        </is>
      </c>
      <c r="H22" s="283" t="n"/>
      <c r="I22" s="283" t="n"/>
      <c r="J22" s="283" t="n"/>
      <c r="K22" s="283" t="n"/>
      <c r="L22" s="283" t="n"/>
      <c r="M22" s="283" t="n"/>
      <c r="N22" s="283" t="n"/>
      <c r="O22" s="283" t="n"/>
      <c r="P22" s="284" t="n"/>
    </row>
    <row r="23" ht="20.1" customHeight="1" thickBot="1">
      <c r="A23" s="75" t="inlineStr">
        <is>
          <t>RASS</t>
        </is>
      </c>
      <c r="B23" s="194" t="inlineStr">
        <is>
          <t>-4 a -5 sedación profunda</t>
        </is>
      </c>
      <c r="C23" s="93" t="n"/>
      <c r="D23" s="93" t="n"/>
      <c r="E23" s="93" t="n"/>
      <c r="F23" s="94" t="n"/>
      <c r="G23" s="116" t="inlineStr">
        <is>
          <t>BIS</t>
        </is>
      </c>
      <c r="H23" s="115" t="n"/>
      <c r="I23" s="117" t="n"/>
      <c r="J23" s="116" t="inlineStr">
        <is>
          <t>TOF</t>
        </is>
      </c>
      <c r="K23" s="206" t="n"/>
      <c r="L23" s="258" t="n"/>
      <c r="M23" s="117" t="n"/>
      <c r="N23" s="208" t="n"/>
      <c r="O23" s="258" t="n"/>
      <c r="P23" s="259" t="n"/>
    </row>
    <row r="24" ht="20.1" customHeight="1">
      <c r="A24" s="296" t="n"/>
      <c r="B24" s="297" t="inlineStr">
        <is>
          <t>GSA cada 8 hr (06-14-20 hr) + Exámenes cada 12 hr o antes SOS /Tomar NP Vancomicina y Amikacina 5:30 AM (12/11) / Ahora RxTx portatil</t>
        </is>
      </c>
      <c r="C24" s="281" t="n"/>
      <c r="D24" s="281" t="n"/>
      <c r="E24" s="281" t="n"/>
      <c r="F24" s="281" t="n"/>
      <c r="G24" s="281" t="n"/>
      <c r="H24" s="281" t="n"/>
      <c r="I24" s="281" t="n"/>
      <c r="J24" s="281" t="n"/>
      <c r="K24" s="281" t="n"/>
      <c r="L24" s="281" t="n"/>
      <c r="M24" s="281" t="n"/>
      <c r="N24" s="281" t="n"/>
      <c r="O24" s="281" t="n"/>
      <c r="P24" s="282" t="n"/>
    </row>
    <row r="25" ht="20.1" customHeight="1">
      <c r="A25" s="287" t="n"/>
      <c r="B25" s="298" t="inlineStr">
        <is>
          <t>AE 0 LA 72 RL 144 DVA 23.5 ATB 255 SA 95.7  = 590 (VT 1.072 ml/m2/d) / BHa -136 / Seguimiento por Cx y Cardiología</t>
        </is>
      </c>
      <c r="C25" s="299" t="n"/>
      <c r="D25" s="299" t="n"/>
      <c r="E25" s="299" t="n"/>
      <c r="F25" s="299" t="n"/>
      <c r="G25" s="299" t="n"/>
      <c r="H25" s="299" t="n"/>
      <c r="I25" s="299" t="n"/>
      <c r="J25" s="299" t="n"/>
      <c r="K25" s="299" t="n"/>
      <c r="L25" s="299" t="n"/>
      <c r="M25" s="299" t="n"/>
      <c r="N25" s="299" t="n"/>
      <c r="O25" s="299" t="n"/>
      <c r="P25" s="300" t="n"/>
    </row>
    <row r="26" ht="20.1" customHeight="1">
      <c r="A26" s="68" t="n"/>
      <c r="B26" s="301" t="inlineStr">
        <is>
          <t>Medicamentos y Sueros</t>
        </is>
      </c>
      <c r="F26" s="95" t="n"/>
      <c r="G26" s="302" t="n"/>
      <c r="H26" s="1" t="n"/>
      <c r="I26" s="1" t="n"/>
      <c r="J26" s="1" t="n"/>
      <c r="K26" s="1" t="n"/>
      <c r="L26" s="1" t="n"/>
      <c r="M26" s="1" t="n"/>
      <c r="N26" s="1" t="n"/>
      <c r="O26" s="1" t="n"/>
      <c r="P26" s="303" t="n"/>
    </row>
    <row r="27" ht="20.1" customHeight="1">
      <c r="A27" s="76" t="n"/>
      <c r="B27" s="304" t="n"/>
      <c r="C27" s="96" t="n"/>
      <c r="D27" s="96" t="n"/>
      <c r="E27" s="96" t="n"/>
      <c r="F27" s="97" t="n"/>
      <c r="G27" s="305" t="n"/>
      <c r="H27" s="1" t="n"/>
      <c r="I27" s="1" t="n"/>
      <c r="J27" s="1" t="n"/>
      <c r="K27" s="1" t="n"/>
      <c r="L27" s="1" t="n"/>
      <c r="M27" s="1" t="n"/>
      <c r="N27" s="1" t="n"/>
      <c r="O27" s="1" t="n"/>
      <c r="P27" s="303" t="n"/>
    </row>
    <row r="28" ht="20.1" customHeight="1">
      <c r="A28" s="129" t="n"/>
      <c r="B28" s="201" t="inlineStr">
        <is>
          <t>R. lactato para mantención vias (VVP y central)</t>
        </is>
      </c>
      <c r="C28" s="93" t="n"/>
      <c r="D28" s="93" t="n"/>
      <c r="E28" s="77" t="n"/>
      <c r="F28" s="78" t="n"/>
      <c r="G28" s="79" t="n"/>
      <c r="H28" s="78" t="n"/>
      <c r="I28" s="79" t="n"/>
      <c r="J28" s="78" t="n"/>
      <c r="K28" s="79" t="n"/>
      <c r="L28" s="78" t="n"/>
      <c r="M28" s="79" t="n"/>
      <c r="N28" s="78" t="n"/>
      <c r="O28" s="79" t="n"/>
      <c r="P28" s="78" t="n"/>
    </row>
    <row r="29" ht="20.1" customHeight="1">
      <c r="A29" s="74" t="n"/>
      <c r="B29" s="203" t="inlineStr">
        <is>
          <t xml:space="preserve">cada uno 3 ml/hr EV </t>
        </is>
      </c>
      <c r="C29" s="96" t="n"/>
      <c r="D29" s="96" t="n"/>
      <c r="E29" s="81" t="n"/>
      <c r="F29" s="81" t="n"/>
      <c r="G29" s="82" t="n"/>
      <c r="H29" s="83" t="n"/>
      <c r="I29" s="83" t="n"/>
      <c r="J29" s="83" t="n"/>
      <c r="K29" s="83" t="n"/>
      <c r="L29" s="83" t="n"/>
      <c r="M29" s="83" t="n"/>
      <c r="N29" s="83" t="n"/>
      <c r="O29" s="83" t="n"/>
      <c r="P29" s="83" t="n"/>
    </row>
    <row r="30" ht="20.1" customHeight="1">
      <c r="A30" s="73" t="n"/>
      <c r="B30" s="201" t="inlineStr">
        <is>
          <t xml:space="preserve">SF 0.9% por LA </t>
        </is>
      </c>
      <c r="C30" s="93" t="n"/>
      <c r="D30" s="93" t="n"/>
      <c r="E30" s="84" t="n"/>
      <c r="F30" s="85" t="n"/>
      <c r="G30" s="86" t="n"/>
      <c r="H30" s="214" t="n"/>
      <c r="I30" s="69" t="n"/>
      <c r="J30" s="69" t="n"/>
      <c r="K30" s="69" t="n"/>
      <c r="L30" s="69" t="n"/>
      <c r="M30" s="69" t="n"/>
      <c r="N30" s="69" t="n"/>
      <c r="O30" s="69" t="n"/>
      <c r="P30" s="69" t="n"/>
    </row>
    <row r="31" ht="20.1" customHeight="1">
      <c r="A31" s="74" t="n"/>
      <c r="B31" s="205" t="inlineStr">
        <is>
          <t xml:space="preserve">3 ml/hr </t>
        </is>
      </c>
      <c r="C31" s="96" t="n"/>
      <c r="D31" s="96" t="n"/>
      <c r="E31" s="87" t="n"/>
      <c r="F31" s="81" t="n"/>
      <c r="G31" s="82" t="n"/>
      <c r="H31" s="83" t="n"/>
      <c r="I31" s="83" t="n"/>
      <c r="J31" s="83" t="n"/>
      <c r="K31" s="83" t="n"/>
      <c r="L31" s="83" t="n"/>
      <c r="M31" s="83" t="n"/>
      <c r="N31" s="83" t="n"/>
      <c r="O31" s="83" t="n"/>
      <c r="P31" s="83" t="n"/>
    </row>
    <row r="32" ht="20.1" customHeight="1">
      <c r="A32" s="73" t="inlineStr">
        <is>
          <t>FI: 10/11</t>
        </is>
      </c>
      <c r="B32" s="201" t="inlineStr">
        <is>
          <t xml:space="preserve">Amikacina EV </t>
        </is>
      </c>
      <c r="C32" s="93" t="n"/>
      <c r="D32" s="93" t="n"/>
      <c r="E32" s="84" t="n"/>
      <c r="F32" s="85" t="n"/>
      <c r="G32" s="86" t="n"/>
      <c r="H32" s="214" t="n"/>
      <c r="I32" s="69" t="n"/>
      <c r="J32" s="69" t="n"/>
      <c r="K32" s="69" t="n"/>
      <c r="L32" s="69" t="n"/>
      <c r="M32" s="69" t="n"/>
      <c r="N32" s="69" t="n"/>
      <c r="O32" s="69" t="n"/>
      <c r="P32" s="69" t="n"/>
    </row>
    <row r="33" ht="20.1" customHeight="1">
      <c r="A33" s="74" t="inlineStr">
        <is>
          <t>(15 cc)</t>
        </is>
      </c>
      <c r="B33" s="205" t="inlineStr">
        <is>
          <t xml:space="preserve">60 mg cada 24 hr </t>
        </is>
      </c>
      <c r="C33" s="96" t="n"/>
      <c r="D33" s="96" t="n"/>
      <c r="E33" s="87" t="n"/>
      <c r="F33" s="81" t="n"/>
      <c r="G33" s="82" t="n"/>
      <c r="H33" s="83" t="n"/>
      <c r="I33" s="83" t="n"/>
      <c r="J33" s="83" t="n"/>
      <c r="K33" s="83" t="n"/>
      <c r="L33" s="83" t="n"/>
      <c r="M33" s="83" t="n"/>
      <c r="N33" s="83" t="n"/>
      <c r="O33" s="83" t="n"/>
      <c r="P33" s="83" t="n"/>
    </row>
    <row r="34" ht="20.1" customHeight="1">
      <c r="A34" s="73" t="inlineStr">
        <is>
          <t>FI: 10/11</t>
        </is>
      </c>
      <c r="B34" s="201" t="inlineStr">
        <is>
          <t xml:space="preserve">Meropenem EV </t>
        </is>
      </c>
      <c r="C34" s="93" t="n"/>
      <c r="D34" s="93" t="n"/>
      <c r="E34" s="84" t="n"/>
      <c r="F34" s="85" t="n"/>
      <c r="G34" s="86" t="n"/>
      <c r="H34" s="214" t="n"/>
      <c r="I34" s="69" t="n"/>
      <c r="J34" s="69" t="n"/>
      <c r="K34" s="69" t="n"/>
      <c r="L34" s="69" t="n"/>
      <c r="M34" s="69" t="n"/>
      <c r="N34" s="69" t="n"/>
      <c r="O34" s="69" t="n"/>
      <c r="P34" s="69" t="n"/>
    </row>
    <row r="35" ht="20.1" customHeight="1">
      <c r="A35" s="74" t="inlineStr">
        <is>
          <t>(150 cc)</t>
        </is>
      </c>
      <c r="B35" s="205" t="inlineStr">
        <is>
          <t xml:space="preserve">250 mg cada 8 hr </t>
        </is>
      </c>
      <c r="C35" s="96" t="n"/>
      <c r="D35" s="96" t="n"/>
      <c r="E35" s="87" t="n"/>
      <c r="F35" s="81" t="n"/>
      <c r="G35" s="82" t="n"/>
      <c r="H35" s="83" t="n"/>
      <c r="I35" s="83" t="n"/>
      <c r="J35" s="83" t="n"/>
      <c r="K35" s="83" t="n"/>
      <c r="L35" s="83" t="n"/>
      <c r="M35" s="83" t="n"/>
      <c r="N35" s="83" t="n"/>
      <c r="O35" s="83" t="n"/>
      <c r="P35" s="83" t="n"/>
    </row>
    <row r="36" ht="20.1" customHeight="1">
      <c r="A36" s="73" t="inlineStr">
        <is>
          <t>FI: 10/11</t>
        </is>
      </c>
      <c r="B36" s="201" t="inlineStr">
        <is>
          <t xml:space="preserve">Vancomicina EV </t>
        </is>
      </c>
      <c r="C36" s="93" t="n"/>
      <c r="D36" s="93" t="n"/>
      <c r="E36" s="84" t="n"/>
      <c r="F36" s="85" t="n"/>
      <c r="G36" s="86" t="n"/>
      <c r="H36" s="214" t="n"/>
      <c r="I36" s="69" t="n"/>
      <c r="J36" s="69" t="n"/>
      <c r="K36" s="69" t="n"/>
      <c r="L36" s="69" t="n"/>
      <c r="M36" s="69" t="n"/>
      <c r="N36" s="69" t="n"/>
      <c r="O36" s="69" t="n"/>
      <c r="P36" s="69" t="n"/>
    </row>
    <row r="37" ht="20.1" customHeight="1">
      <c r="A37" s="74" t="inlineStr">
        <is>
          <t>(90 cc)</t>
        </is>
      </c>
      <c r="B37" s="205" t="inlineStr">
        <is>
          <t xml:space="preserve">110 mg cada 8 hr EV </t>
        </is>
      </c>
      <c r="C37" s="96" t="n"/>
      <c r="D37" s="96" t="n"/>
      <c r="E37" s="87" t="n"/>
      <c r="F37" s="81" t="n"/>
      <c r="G37" s="82" t="n"/>
      <c r="H37" s="83" t="n"/>
      <c r="I37" s="83" t="n"/>
      <c r="J37" s="83" t="n"/>
      <c r="K37" s="83" t="n"/>
      <c r="L37" s="83" t="n"/>
      <c r="M37" s="83" t="n"/>
      <c r="N37" s="83" t="n"/>
      <c r="O37" s="83" t="n"/>
      <c r="P37" s="83" t="n"/>
    </row>
    <row r="38" ht="20.1" customHeight="1">
      <c r="A38" s="68" t="n"/>
      <c r="B38" s="201" t="inlineStr">
        <is>
          <t>Epinefrina EV</t>
        </is>
      </c>
      <c r="C38" s="93" t="n"/>
      <c r="D38" s="93" t="n"/>
      <c r="E38" s="84" t="n"/>
      <c r="F38" s="85" t="n"/>
      <c r="G38" s="86" t="n"/>
      <c r="H38" s="214" t="n"/>
      <c r="I38" s="69" t="n"/>
      <c r="J38" s="69" t="n"/>
      <c r="K38" s="69" t="n"/>
      <c r="L38" s="69" t="n"/>
      <c r="M38" s="69" t="n"/>
      <c r="N38" s="69" t="n"/>
      <c r="O38" s="69" t="n"/>
      <c r="P38" s="69" t="n"/>
    </row>
    <row r="39" ht="20.1" customHeight="1">
      <c r="A39" s="65" t="n"/>
      <c r="B39" s="205" t="inlineStr">
        <is>
          <t>Titular para objetivo de PAM</t>
        </is>
      </c>
      <c r="C39" s="96" t="n"/>
      <c r="D39" s="96" t="n"/>
      <c r="E39" s="87" t="n"/>
      <c r="F39" s="81" t="n"/>
      <c r="G39" s="82" t="n"/>
      <c r="H39" s="83" t="n"/>
      <c r="I39" s="83" t="n"/>
      <c r="J39" s="83" t="n"/>
      <c r="K39" s="83" t="n"/>
      <c r="L39" s="83" t="n"/>
      <c r="M39" s="83" t="n"/>
      <c r="N39" s="83" t="n"/>
      <c r="O39" s="83" t="n"/>
      <c r="P39" s="83" t="n"/>
    </row>
    <row r="40" ht="20.1" customHeight="1">
      <c r="A40" s="68" t="n"/>
      <c r="B40" s="201" t="inlineStr">
        <is>
          <t xml:space="preserve">Norepinefrina EV </t>
        </is>
      </c>
      <c r="C40" s="93" t="n"/>
      <c r="D40" s="93" t="n"/>
      <c r="E40" s="84" t="n"/>
      <c r="F40" s="85" t="n"/>
      <c r="G40" s="86" t="n"/>
      <c r="H40" s="214" t="n"/>
      <c r="I40" s="69" t="n"/>
      <c r="J40" s="69" t="n"/>
      <c r="K40" s="69" t="n"/>
      <c r="L40" s="69" t="n"/>
      <c r="M40" s="69" t="n"/>
      <c r="N40" s="69" t="n"/>
      <c r="O40" s="69" t="n"/>
      <c r="P40" s="69" t="n"/>
    </row>
    <row r="41" ht="20.1" customHeight="1">
      <c r="A41" s="65" t="n"/>
      <c r="B41" s="205" t="inlineStr">
        <is>
          <t xml:space="preserve">Titular para objetivo de PAM </t>
        </is>
      </c>
      <c r="C41" s="96" t="n"/>
      <c r="D41" s="96" t="n"/>
      <c r="E41" s="87" t="n"/>
      <c r="F41" s="81" t="n"/>
      <c r="G41" s="82" t="n"/>
      <c r="H41" s="83" t="n"/>
      <c r="I41" s="83" t="n"/>
      <c r="J41" s="83" t="n"/>
      <c r="K41" s="83" t="n"/>
      <c r="L41" s="83" t="n"/>
      <c r="M41" s="83" t="n"/>
      <c r="N41" s="83" t="n"/>
      <c r="O41" s="83" t="n"/>
      <c r="P41" s="83" t="n"/>
    </row>
    <row r="42" ht="20.1" customHeight="1">
      <c r="A42" s="68" t="n"/>
      <c r="B42" s="201" t="inlineStr">
        <is>
          <t xml:space="preserve">Furosemida EV </t>
        </is>
      </c>
      <c r="C42" s="93" t="n"/>
      <c r="D42" s="93" t="n"/>
      <c r="E42" s="84" t="n"/>
      <c r="F42" s="85" t="n"/>
      <c r="G42" s="86" t="n"/>
      <c r="H42" s="214" t="n"/>
      <c r="I42" s="69" t="n"/>
      <c r="J42" s="69" t="n"/>
      <c r="K42" s="69" t="n"/>
      <c r="L42" s="69" t="n"/>
      <c r="M42" s="69" t="n"/>
      <c r="N42" s="69" t="n"/>
      <c r="O42" s="69" t="n"/>
      <c r="P42" s="69" t="n"/>
    </row>
    <row r="43" ht="20.1" customHeight="1">
      <c r="A43" s="65" t="n"/>
      <c r="B43" s="205" t="inlineStr">
        <is>
          <t xml:space="preserve">7 mg cada 12 hr (según BH) </t>
        </is>
      </c>
      <c r="C43" s="96" t="n"/>
      <c r="D43" s="96" t="n"/>
      <c r="E43" s="87" t="n"/>
      <c r="F43" s="81" t="n"/>
      <c r="G43" s="82" t="n"/>
      <c r="H43" s="83" t="n"/>
      <c r="I43" s="83" t="n"/>
      <c r="J43" s="83" t="n"/>
      <c r="K43" s="83" t="n"/>
      <c r="L43" s="83" t="n"/>
      <c r="M43" s="83" t="n"/>
      <c r="N43" s="83" t="n"/>
      <c r="O43" s="83" t="n"/>
      <c r="P43" s="83" t="n"/>
    </row>
    <row r="44" ht="20.1" customHeight="1">
      <c r="A44" s="68" t="n"/>
      <c r="B44" s="201" t="inlineStr">
        <is>
          <t xml:space="preserve">Midazolam EV </t>
        </is>
      </c>
      <c r="C44" s="93" t="n"/>
      <c r="D44" s="93" t="n"/>
      <c r="E44" s="84" t="n"/>
      <c r="F44" s="85" t="n"/>
      <c r="G44" s="86" t="n"/>
      <c r="H44" s="214" t="n"/>
      <c r="I44" s="69" t="n"/>
      <c r="J44" s="69" t="n"/>
      <c r="K44" s="69" t="n"/>
      <c r="L44" s="69" t="n"/>
      <c r="M44" s="69" t="n"/>
      <c r="N44" s="69" t="n"/>
      <c r="O44" s="69" t="n"/>
      <c r="P44" s="69" t="n"/>
    </row>
    <row r="45" ht="20.1" customHeight="1">
      <c r="A45" s="65" t="n"/>
      <c r="B45" s="205" t="inlineStr">
        <is>
          <t>1 mg SOS (agitación/atenciones)</t>
        </is>
      </c>
      <c r="C45" s="96" t="n"/>
      <c r="D45" s="96" t="n"/>
      <c r="E45" s="87" t="n"/>
      <c r="F45" s="81" t="n"/>
      <c r="G45" s="82" t="n"/>
      <c r="H45" s="83" t="n"/>
      <c r="I45" s="83" t="n"/>
      <c r="J45" s="83" t="n"/>
      <c r="K45" s="83" t="n"/>
      <c r="L45" s="83" t="n"/>
      <c r="M45" s="83" t="n"/>
      <c r="N45" s="83" t="n"/>
      <c r="O45" s="83" t="n"/>
      <c r="P45" s="83" t="n"/>
    </row>
    <row r="46" ht="20.1" customHeight="1">
      <c r="A46" s="68" t="n"/>
      <c r="B46" s="201" t="inlineStr">
        <is>
          <t xml:space="preserve">Fentanyl EV </t>
        </is>
      </c>
      <c r="C46" s="93" t="n"/>
      <c r="D46" s="93" t="n"/>
      <c r="E46" s="84" t="n"/>
      <c r="F46" s="85" t="n"/>
      <c r="G46" s="86" t="n"/>
      <c r="H46" s="214" t="n"/>
      <c r="I46" s="69" t="n"/>
      <c r="J46" s="69" t="n"/>
      <c r="K46" s="69" t="n"/>
      <c r="L46" s="69" t="n"/>
      <c r="M46" s="69" t="n"/>
      <c r="N46" s="69" t="n"/>
      <c r="O46" s="69" t="n"/>
      <c r="P46" s="69" t="n"/>
    </row>
    <row r="47" ht="20.1" customHeight="1">
      <c r="A47" s="65" t="n"/>
      <c r="B47" s="205" t="inlineStr">
        <is>
          <t xml:space="preserve">10 mcg SOS (dolor/atenciones) </t>
        </is>
      </c>
      <c r="C47" s="96" t="n"/>
      <c r="D47" s="96" t="n"/>
      <c r="E47" s="87" t="n"/>
      <c r="F47" s="81" t="n"/>
      <c r="G47" s="82" t="n"/>
      <c r="H47" s="83" t="n"/>
      <c r="I47" s="83" t="n"/>
      <c r="J47" s="83" t="n"/>
      <c r="K47" s="83" t="n"/>
      <c r="L47" s="83" t="n"/>
      <c r="M47" s="83" t="n"/>
      <c r="N47" s="83" t="n"/>
      <c r="O47" s="83" t="n"/>
      <c r="P47" s="83" t="n"/>
    </row>
    <row r="48" ht="20.1" customHeight="1">
      <c r="A48" s="88" t="n"/>
      <c r="B48" s="201" t="inlineStr">
        <is>
          <t xml:space="preserve">Rocuronio EV </t>
        </is>
      </c>
      <c r="C48" s="93" t="n"/>
      <c r="D48" s="93" t="n"/>
      <c r="E48" s="84" t="n"/>
      <c r="F48" s="85" t="n"/>
      <c r="G48" s="86" t="n"/>
      <c r="H48" s="214" t="n"/>
      <c r="I48" s="69" t="n"/>
      <c r="J48" s="69" t="n"/>
      <c r="K48" s="69" t="n"/>
      <c r="L48" s="69" t="n"/>
      <c r="M48" s="69" t="n"/>
      <c r="N48" s="69" t="n"/>
      <c r="O48" s="69" t="n"/>
      <c r="P48" s="69" t="n"/>
    </row>
    <row r="49" ht="20.1" customHeight="1">
      <c r="A49" s="89" t="n"/>
      <c r="B49" s="205" t="inlineStr">
        <is>
          <t>6 mg SOS (atenciones)</t>
        </is>
      </c>
      <c r="C49" s="96" t="n"/>
      <c r="D49" s="96" t="n"/>
      <c r="E49" s="87" t="n"/>
      <c r="F49" s="81" t="n"/>
      <c r="G49" s="82" t="n"/>
      <c r="H49" s="83" t="n"/>
      <c r="I49" s="83" t="n"/>
      <c r="J49" s="83" t="n"/>
      <c r="K49" s="83" t="n"/>
      <c r="L49" s="83" t="n"/>
      <c r="M49" s="83" t="n"/>
      <c r="N49" s="83" t="n"/>
      <c r="O49" s="83" t="n"/>
      <c r="P49" s="83" t="n"/>
    </row>
    <row r="50" ht="20.1" customHeight="1">
      <c r="A50" s="68" t="n"/>
      <c r="B50" s="201" t="inlineStr">
        <is>
          <t xml:space="preserve">Vitamina K </t>
        </is>
      </c>
      <c r="C50" s="93" t="n"/>
      <c r="D50" s="93" t="n"/>
      <c r="E50" s="84" t="n"/>
      <c r="F50" s="85" t="n"/>
      <c r="G50" s="86" t="n"/>
      <c r="H50" s="214" t="n"/>
      <c r="I50" s="69" t="n"/>
      <c r="J50" s="69" t="n"/>
      <c r="K50" s="69" t="n"/>
      <c r="L50" s="69" t="n"/>
      <c r="M50" s="69" t="n"/>
      <c r="N50" s="69" t="n"/>
      <c r="O50" s="69" t="n"/>
      <c r="P50" s="69" t="n"/>
    </row>
    <row r="51" ht="20.1" customHeight="1">
      <c r="A51" s="65" t="n"/>
      <c r="B51" s="205" t="inlineStr">
        <is>
          <t>SUSPENDER</t>
        </is>
      </c>
      <c r="C51" s="96" t="n"/>
      <c r="D51" s="96" t="n"/>
      <c r="E51" s="205" t="n"/>
      <c r="F51" s="90" t="n"/>
      <c r="G51" s="82" t="n"/>
      <c r="H51" s="83" t="n"/>
      <c r="I51" s="83" t="n"/>
      <c r="J51" s="83" t="n"/>
      <c r="K51" s="83" t="n"/>
      <c r="L51" s="83" t="n"/>
      <c r="M51" s="83" t="n"/>
      <c r="N51" s="83" t="n"/>
      <c r="O51" s="83" t="n"/>
      <c r="P51" s="83" t="n"/>
    </row>
    <row r="52" ht="20.1" customHeight="1">
      <c r="A52" s="68" t="n"/>
      <c r="B52" s="201" t="inlineStr">
        <is>
          <t xml:space="preserve">Omeprazol EV </t>
        </is>
      </c>
      <c r="C52" s="93" t="n"/>
      <c r="D52" s="93" t="n"/>
      <c r="E52" s="84" t="n"/>
      <c r="F52" s="85" t="n"/>
      <c r="G52" s="86" t="n"/>
      <c r="H52" s="214" t="n"/>
      <c r="I52" s="69" t="n"/>
      <c r="J52" s="69" t="n"/>
      <c r="K52" s="69" t="n"/>
      <c r="L52" s="69" t="n"/>
      <c r="M52" s="69" t="n"/>
      <c r="N52" s="69" t="n"/>
      <c r="O52" s="69" t="n"/>
      <c r="P52" s="69" t="n"/>
    </row>
    <row r="53" ht="20.1" customHeight="1">
      <c r="A53" s="65" t="n"/>
      <c r="B53" s="205" t="inlineStr">
        <is>
          <t xml:space="preserve">12 mg cada 24 hr </t>
        </is>
      </c>
      <c r="C53" s="96" t="n"/>
      <c r="D53" s="96" t="n"/>
      <c r="E53" s="87" t="n"/>
      <c r="F53" s="81" t="n"/>
      <c r="G53" s="82" t="n"/>
      <c r="H53" s="83" t="n"/>
      <c r="I53" s="83" t="n"/>
      <c r="J53" s="83" t="n"/>
      <c r="K53" s="83" t="n"/>
      <c r="L53" s="83" t="n"/>
      <c r="M53" s="83" t="n"/>
      <c r="N53" s="83" t="n"/>
      <c r="O53" s="83" t="n"/>
      <c r="P53" s="83" t="n"/>
    </row>
    <row r="54" ht="20.1" customHeight="1">
      <c r="A54" s="68" t="n"/>
      <c r="B54" s="201" t="inlineStr">
        <is>
          <t>Paracetamol EV (1ra linea)</t>
        </is>
      </c>
      <c r="C54" s="93" t="n"/>
      <c r="D54" s="93" t="n"/>
      <c r="E54" s="84" t="n"/>
      <c r="F54" s="85" t="n"/>
      <c r="G54" s="86" t="n"/>
      <c r="H54" s="214" t="n"/>
      <c r="I54" s="69" t="n"/>
      <c r="J54" s="69" t="n"/>
      <c r="K54" s="69" t="n"/>
      <c r="L54" s="69" t="n"/>
      <c r="M54" s="69" t="n"/>
      <c r="N54" s="69" t="n"/>
      <c r="O54" s="69" t="n"/>
      <c r="P54" s="69" t="n"/>
    </row>
    <row r="55" ht="20.1" customHeight="1">
      <c r="A55" s="65" t="n"/>
      <c r="B55" s="205" t="inlineStr">
        <is>
          <t>190 mg SOS, máximo cada 6 hr (fiebre/dolor)</t>
        </is>
      </c>
      <c r="C55" s="96" t="n"/>
      <c r="D55" s="96" t="n"/>
      <c r="E55" s="87" t="n"/>
      <c r="F55" s="81" t="n"/>
      <c r="G55" s="82" t="n"/>
      <c r="H55" s="83" t="n"/>
      <c r="I55" s="83" t="n"/>
      <c r="J55" s="83" t="n"/>
      <c r="K55" s="83" t="n"/>
      <c r="L55" s="83" t="n"/>
      <c r="M55" s="83" t="n"/>
      <c r="N55" s="83" t="n"/>
      <c r="O55" s="83" t="n"/>
      <c r="P55" s="83" t="n"/>
    </row>
    <row r="56" ht="20.1" customHeight="1">
      <c r="A56" s="88" t="n"/>
      <c r="B56" s="201" t="inlineStr">
        <is>
          <t>Metamizol EV (2da línea)</t>
        </is>
      </c>
      <c r="C56" s="93" t="n"/>
      <c r="D56" s="93" t="n"/>
      <c r="E56" s="84" t="n"/>
      <c r="F56" s="85" t="n"/>
      <c r="G56" s="86" t="n"/>
      <c r="H56" s="214" t="n"/>
      <c r="I56" s="69" t="n"/>
      <c r="J56" s="69" t="n"/>
      <c r="K56" s="69" t="n"/>
      <c r="L56" s="69" t="n"/>
      <c r="M56" s="69" t="n"/>
      <c r="N56" s="69" t="n"/>
      <c r="O56" s="69" t="n"/>
      <c r="P56" s="69" t="n"/>
    </row>
    <row r="57" ht="20.1" customHeight="1">
      <c r="A57" s="89" t="n"/>
      <c r="B57" s="205" t="inlineStr">
        <is>
          <t>190 mg SOS, máximo cada 8 hr (fiebre/dolor)</t>
        </is>
      </c>
      <c r="C57" s="96" t="n"/>
      <c r="D57" s="96" t="n"/>
      <c r="E57" s="87" t="n"/>
      <c r="F57" s="81" t="n"/>
      <c r="G57" s="82" t="n"/>
      <c r="H57" s="83" t="n"/>
      <c r="I57" s="83" t="n"/>
      <c r="J57" s="83" t="n"/>
      <c r="K57" s="83" t="n"/>
      <c r="L57" s="83" t="n"/>
      <c r="M57" s="83" t="n"/>
      <c r="N57" s="83" t="n"/>
      <c r="O57" s="83" t="n"/>
      <c r="P57" s="83" t="n"/>
    </row>
    <row r="58" ht="18" customHeight="1">
      <c r="A58" s="75" t="inlineStr">
        <is>
          <t xml:space="preserve">Hora </t>
        </is>
      </c>
      <c r="B58" s="306" t="n"/>
      <c r="C58" s="289" t="n"/>
      <c r="D58" s="290" t="n"/>
      <c r="E58" s="91" t="n"/>
      <c r="F58" s="92" t="n"/>
      <c r="G58" s="209" t="inlineStr">
        <is>
          <t>Horarios</t>
        </is>
      </c>
      <c r="H58" s="289" t="n"/>
      <c r="I58" s="289" t="n"/>
      <c r="J58" s="289" t="n"/>
      <c r="K58" s="289" t="n"/>
      <c r="L58" s="289" t="n"/>
      <c r="M58" s="289" t="n"/>
      <c r="N58" s="289" t="n"/>
    </row>
    <row r="59" ht="20.1" customHeight="1">
      <c r="A59" s="69" t="n"/>
      <c r="B59" s="201" t="n"/>
      <c r="C59" s="93" t="n"/>
      <c r="D59" s="93" t="n"/>
      <c r="E59" s="84" t="n"/>
      <c r="F59" s="85" t="n"/>
      <c r="G59" s="86" t="n"/>
      <c r="H59" s="214" t="n"/>
      <c r="I59" s="69" t="n"/>
      <c r="J59" s="69" t="n"/>
      <c r="K59" s="69" t="n"/>
      <c r="L59" s="69" t="n"/>
      <c r="M59" s="69" t="n"/>
      <c r="N59" s="69" t="n"/>
      <c r="O59" s="69" t="n"/>
      <c r="P59" s="69" t="n"/>
    </row>
    <row r="60" ht="20.1" customHeight="1">
      <c r="A60" s="83" t="n"/>
      <c r="B60" s="205" t="n"/>
      <c r="C60" s="96" t="n"/>
      <c r="D60" s="96" t="n"/>
      <c r="E60" s="87" t="n"/>
      <c r="F60" s="81" t="n"/>
      <c r="G60" s="82" t="n"/>
      <c r="H60" s="83" t="n"/>
      <c r="I60" s="83" t="n"/>
      <c r="J60" s="83" t="n"/>
      <c r="K60" s="83" t="n"/>
      <c r="L60" s="83" t="n"/>
      <c r="M60" s="83" t="n"/>
      <c r="N60" s="83" t="n"/>
      <c r="O60" s="83" t="n"/>
      <c r="P60" s="83" t="n"/>
    </row>
    <row r="61" ht="20.1" customHeight="1">
      <c r="A61" s="69" t="n"/>
      <c r="B61" s="201" t="n"/>
      <c r="C61" s="93" t="n"/>
      <c r="D61" s="93" t="n"/>
      <c r="E61" s="84" t="n"/>
      <c r="F61" s="85" t="n"/>
      <c r="G61" s="86" t="n"/>
      <c r="H61" s="214" t="n"/>
      <c r="I61" s="69" t="n"/>
      <c r="J61" s="69" t="n"/>
      <c r="K61" s="69" t="n"/>
      <c r="L61" s="69" t="n"/>
      <c r="M61" s="69" t="n"/>
      <c r="N61" s="69" t="n"/>
      <c r="O61" s="69" t="n"/>
      <c r="P61" s="69" t="n"/>
    </row>
    <row r="62" ht="20.1" customHeight="1">
      <c r="A62" s="83" t="n"/>
      <c r="B62" s="205" t="n"/>
      <c r="C62" s="96" t="n"/>
      <c r="D62" s="96" t="n"/>
      <c r="E62" s="87" t="n"/>
      <c r="F62" s="81" t="n"/>
      <c r="G62" s="82" t="n"/>
      <c r="H62" s="83" t="n"/>
      <c r="I62" s="83" t="n"/>
      <c r="J62" s="83" t="n"/>
      <c r="K62" s="83" t="n"/>
      <c r="L62" s="83" t="n"/>
      <c r="M62" s="83" t="n"/>
      <c r="N62" s="83" t="n"/>
      <c r="O62" s="83" t="n"/>
      <c r="P62" s="83" t="n"/>
    </row>
    <row r="63" ht="20.1" customHeight="1">
      <c r="A63" s="69" t="n"/>
      <c r="B63" s="201" t="n"/>
      <c r="C63" s="93" t="n"/>
      <c r="D63" s="93" t="n"/>
      <c r="E63" s="84" t="n"/>
      <c r="F63" s="85" t="n"/>
      <c r="G63" s="86" t="n"/>
      <c r="H63" s="214" t="n"/>
      <c r="I63" s="69" t="n"/>
      <c r="J63" s="69" t="n"/>
      <c r="K63" s="69" t="n"/>
      <c r="L63" s="69" t="n"/>
      <c r="M63" s="69" t="n"/>
      <c r="N63" s="69" t="n"/>
      <c r="O63" s="69" t="n"/>
      <c r="P63" s="69" t="n"/>
    </row>
    <row r="64" ht="20.1" customHeight="1">
      <c r="A64" s="83" t="n"/>
      <c r="B64" s="205" t="n"/>
      <c r="C64" s="96" t="n"/>
      <c r="D64" s="96" t="n"/>
      <c r="E64" s="87" t="n"/>
      <c r="F64" s="81" t="n"/>
      <c r="G64" s="82" t="n"/>
      <c r="H64" s="83" t="n"/>
      <c r="I64" s="83" t="n"/>
      <c r="J64" s="83" t="n"/>
      <c r="K64" s="83" t="n"/>
      <c r="L64" s="83" t="n"/>
      <c r="M64" s="83" t="n"/>
      <c r="N64" s="83" t="n"/>
      <c r="O64" s="83" t="n"/>
      <c r="P64" s="83" t="n"/>
    </row>
    <row r="65" ht="20.1" customHeight="1">
      <c r="A65" s="69" t="inlineStr">
        <is>
          <t xml:space="preserve"> </t>
        </is>
      </c>
      <c r="B65" s="201" t="n"/>
      <c r="C65" s="93" t="n"/>
      <c r="D65" s="93" t="n"/>
      <c r="E65" s="84" t="n"/>
      <c r="F65" s="85" t="n"/>
      <c r="G65" s="86" t="n"/>
      <c r="H65" s="214" t="n"/>
      <c r="I65" s="69" t="n"/>
      <c r="J65" s="69" t="n"/>
      <c r="K65" s="69" t="n"/>
      <c r="L65" s="69" t="n"/>
      <c r="M65" s="69" t="n"/>
      <c r="N65" s="69" t="n"/>
      <c r="O65" s="69" t="n"/>
      <c r="P65" s="69" t="n"/>
    </row>
    <row r="66" ht="20.1" customHeight="1">
      <c r="A66" s="83" t="n"/>
      <c r="B66" s="205" t="n"/>
      <c r="C66" s="96" t="n"/>
      <c r="D66" s="96" t="n"/>
      <c r="E66" s="87" t="n"/>
      <c r="F66" s="81" t="n"/>
      <c r="G66" s="82" t="n"/>
      <c r="H66" s="83" t="n"/>
      <c r="I66" s="83" t="n"/>
      <c r="J66" s="83" t="n"/>
      <c r="K66" s="83" t="n"/>
      <c r="L66" s="83" t="n"/>
      <c r="M66" s="83" t="n"/>
      <c r="N66" s="83" t="n"/>
      <c r="O66" s="83" t="n"/>
      <c r="P66" s="83" t="n"/>
    </row>
    <row r="67" ht="20.1" customHeight="1">
      <c r="A67" s="69" t="n"/>
      <c r="B67" s="201" t="n"/>
      <c r="C67" s="93" t="n"/>
      <c r="D67" s="93" t="n"/>
      <c r="E67" s="84" t="n"/>
      <c r="F67" s="85" t="n"/>
      <c r="G67" s="86" t="n"/>
      <c r="H67" s="214" t="n"/>
      <c r="I67" s="69" t="n"/>
      <c r="J67" s="69" t="n"/>
      <c r="K67" s="69" t="n"/>
      <c r="L67" s="69" t="n"/>
      <c r="M67" s="69" t="n"/>
      <c r="N67" s="69" t="n"/>
      <c r="O67" s="69" t="n"/>
      <c r="P67" s="69" t="n"/>
    </row>
    <row r="68" ht="20.1" customHeight="1">
      <c r="A68" s="83" t="n"/>
      <c r="B68" s="205" t="n"/>
      <c r="C68" s="96" t="n"/>
      <c r="D68" s="96" t="n"/>
      <c r="E68" s="87" t="n"/>
      <c r="F68" s="81" t="n"/>
      <c r="G68" s="82" t="n"/>
      <c r="H68" s="83" t="n"/>
      <c r="I68" s="83" t="n"/>
      <c r="J68" s="83" t="n"/>
      <c r="K68" s="83" t="n"/>
      <c r="L68" s="83" t="n"/>
      <c r="M68" s="83" t="n"/>
      <c r="N68" s="83" t="n"/>
      <c r="O68" s="83" t="n"/>
      <c r="P68" s="83" t="n"/>
    </row>
    <row r="69" ht="20.1" customHeight="1">
      <c r="A69" s="69" t="n"/>
      <c r="B69" s="201" t="n"/>
      <c r="C69" s="93" t="n"/>
      <c r="D69" s="93" t="n"/>
      <c r="E69" s="84" t="n"/>
      <c r="F69" s="85" t="n"/>
      <c r="G69" s="86" t="n"/>
      <c r="H69" s="214" t="n"/>
      <c r="I69" s="69" t="n"/>
      <c r="J69" s="69" t="n"/>
      <c r="K69" s="69" t="n"/>
      <c r="L69" s="69" t="n"/>
      <c r="M69" s="69" t="n"/>
      <c r="N69" s="69" t="n"/>
      <c r="O69" s="69" t="n"/>
      <c r="P69" s="69" t="n"/>
    </row>
    <row r="70" ht="20.1" customHeight="1">
      <c r="A70" s="83" t="n"/>
      <c r="B70" s="205" t="n"/>
      <c r="C70" s="96" t="n"/>
      <c r="D70" s="96" t="n"/>
      <c r="E70" s="87" t="n"/>
      <c r="F70" s="81" t="n"/>
      <c r="G70" s="82" t="n"/>
      <c r="H70" s="83" t="n"/>
      <c r="I70" s="83" t="n"/>
      <c r="J70" s="83" t="n"/>
      <c r="K70" s="83" t="n"/>
      <c r="L70" s="83" t="n"/>
      <c r="M70" s="83" t="n"/>
      <c r="N70" s="83" t="n"/>
      <c r="O70" s="83" t="n"/>
      <c r="P70" s="83" t="n"/>
    </row>
    <row r="71" ht="20.1" customHeight="1">
      <c r="A71" s="69" t="n"/>
      <c r="B71" s="201" t="n"/>
      <c r="C71" s="93" t="n"/>
      <c r="D71" s="93" t="n"/>
      <c r="E71" s="84" t="n"/>
      <c r="F71" s="85" t="n"/>
      <c r="G71" s="86" t="n"/>
      <c r="H71" s="214" t="n"/>
      <c r="I71" s="69" t="n"/>
      <c r="J71" s="69" t="n"/>
      <c r="K71" s="69" t="n"/>
      <c r="L71" s="69" t="n"/>
      <c r="M71" s="69" t="n"/>
      <c r="N71" s="69" t="n"/>
      <c r="O71" s="69" t="n"/>
      <c r="P71" s="69" t="n"/>
    </row>
    <row r="72" ht="20.1" customHeight="1">
      <c r="A72" s="83" t="n"/>
      <c r="B72" s="205" t="n"/>
      <c r="C72" s="96" t="n"/>
      <c r="D72" s="96" t="n"/>
      <c r="E72" s="87" t="n"/>
      <c r="F72" s="81" t="n"/>
      <c r="G72" s="82" t="n"/>
      <c r="H72" s="83" t="n"/>
      <c r="I72" s="83" t="n"/>
      <c r="J72" s="83" t="n"/>
      <c r="K72" s="83" t="n"/>
      <c r="L72" s="83" t="n"/>
      <c r="M72" s="83" t="n"/>
      <c r="N72" s="83" t="n"/>
      <c r="O72" s="83" t="n"/>
      <c r="P72" s="83" t="n"/>
    </row>
    <row r="73" ht="20.1" customHeight="1">
      <c r="A73" s="69" t="n"/>
      <c r="B73" s="201" t="n"/>
      <c r="C73" s="93" t="n"/>
      <c r="D73" s="93" t="n"/>
      <c r="E73" s="84" t="n"/>
      <c r="F73" s="85" t="n"/>
      <c r="G73" s="86" t="n"/>
      <c r="H73" s="214" t="n"/>
      <c r="I73" s="69" t="n"/>
      <c r="J73" s="69" t="n"/>
      <c r="K73" s="69" t="n"/>
      <c r="L73" s="69" t="n"/>
      <c r="M73" s="69" t="n"/>
      <c r="N73" s="69" t="n"/>
      <c r="O73" s="69" t="n"/>
      <c r="P73" s="69" t="n"/>
    </row>
    <row r="74" ht="20.1" customHeight="1">
      <c r="A74" s="83" t="n"/>
      <c r="B74" s="205" t="n"/>
      <c r="C74" s="96" t="n"/>
      <c r="D74" s="96" t="n"/>
      <c r="E74" s="87" t="n"/>
      <c r="F74" s="81" t="n"/>
      <c r="G74" s="82" t="n"/>
      <c r="H74" s="83" t="n"/>
      <c r="I74" s="83" t="n"/>
      <c r="J74" s="83" t="n"/>
      <c r="K74" s="83" t="n"/>
      <c r="L74" s="83" t="n"/>
      <c r="M74" s="83" t="n"/>
      <c r="N74" s="83" t="n"/>
      <c r="O74" s="83" t="n"/>
      <c r="P74" s="83" t="n"/>
    </row>
    <row r="75" ht="20.1" customHeight="1">
      <c r="A75" s="69" t="n"/>
      <c r="B75" s="201" t="n"/>
      <c r="C75" s="93" t="n"/>
      <c r="D75" s="93" t="n"/>
      <c r="E75" s="84" t="n"/>
      <c r="F75" s="85" t="n"/>
      <c r="G75" s="86" t="n"/>
      <c r="H75" s="214" t="n"/>
      <c r="I75" s="69" t="n"/>
      <c r="J75" s="69" t="n"/>
      <c r="K75" s="69" t="n"/>
      <c r="L75" s="69" t="n"/>
      <c r="M75" s="69" t="n"/>
      <c r="N75" s="69" t="n"/>
      <c r="O75" s="69" t="n"/>
      <c r="P75" s="69" t="n"/>
    </row>
    <row r="76" ht="20.1" customHeight="1">
      <c r="A76" s="83" t="n"/>
      <c r="B76" s="205" t="n"/>
      <c r="C76" s="96" t="n"/>
      <c r="D76" s="96" t="n"/>
      <c r="E76" s="87" t="n"/>
      <c r="F76" s="81" t="n"/>
      <c r="G76" s="82" t="n"/>
      <c r="H76" s="83" t="n"/>
      <c r="I76" s="83" t="n"/>
      <c r="J76" s="83" t="n"/>
      <c r="K76" s="83" t="n"/>
      <c r="L76" s="83" t="n"/>
      <c r="M76" s="83" t="n"/>
      <c r="N76" s="83" t="n"/>
      <c r="O76" s="83" t="n"/>
      <c r="P76" s="83" t="n"/>
    </row>
    <row r="77" ht="20.1" customHeight="1">
      <c r="A77" s="69" t="n"/>
      <c r="B77" s="201" t="n"/>
      <c r="C77" s="93" t="n"/>
      <c r="D77" s="93" t="n"/>
      <c r="E77" s="84" t="n"/>
      <c r="F77" s="85" t="n"/>
      <c r="G77" s="86" t="n"/>
      <c r="H77" s="214" t="n"/>
      <c r="I77" s="69" t="n"/>
      <c r="J77" s="69" t="n"/>
      <c r="K77" s="69" t="n"/>
      <c r="L77" s="69" t="n"/>
      <c r="M77" s="69" t="n"/>
      <c r="N77" s="69" t="n"/>
      <c r="O77" s="69" t="n"/>
      <c r="P77" s="69" t="n"/>
    </row>
    <row r="78" ht="20.1" customHeight="1">
      <c r="A78" s="83" t="n"/>
      <c r="B78" s="205" t="n"/>
      <c r="C78" s="96" t="n"/>
      <c r="D78" s="96" t="n"/>
      <c r="E78" s="87" t="n"/>
      <c r="F78" s="81" t="n"/>
      <c r="G78" s="82" t="n"/>
      <c r="H78" s="83" t="n"/>
      <c r="I78" s="83" t="n"/>
      <c r="J78" s="83" t="n"/>
      <c r="K78" s="83" t="n"/>
      <c r="L78" s="83" t="n"/>
      <c r="M78" s="83" t="n"/>
      <c r="N78" s="83" t="n"/>
      <c r="O78" s="83" t="n"/>
      <c r="P78" s="83" t="n"/>
    </row>
    <row r="79" ht="20.1" customHeight="1">
      <c r="A79" s="69" t="n"/>
      <c r="B79" s="201" t="n"/>
      <c r="C79" s="93" t="n"/>
      <c r="D79" s="93" t="n"/>
      <c r="E79" s="84" t="n"/>
      <c r="F79" s="85" t="n"/>
      <c r="G79" s="86" t="n"/>
      <c r="H79" s="214" t="n"/>
      <c r="I79" s="69" t="n"/>
      <c r="J79" s="69" t="n"/>
      <c r="K79" s="69" t="n"/>
      <c r="L79" s="69" t="n"/>
      <c r="M79" s="69" t="n"/>
      <c r="N79" s="69" t="n"/>
      <c r="O79" s="69" t="n"/>
      <c r="P79" s="69" t="n"/>
    </row>
    <row r="80" ht="20.1" customHeight="1">
      <c r="A80" s="83" t="n"/>
      <c r="B80" s="205" t="n"/>
      <c r="C80" s="96" t="n"/>
      <c r="D80" s="96" t="n"/>
      <c r="E80" s="87" t="n"/>
      <c r="F80" s="81" t="n"/>
      <c r="G80" s="82" t="n"/>
      <c r="H80" s="83" t="n"/>
      <c r="I80" s="83" t="n"/>
      <c r="J80" s="83" t="n"/>
      <c r="K80" s="83" t="n"/>
      <c r="L80" s="83" t="n"/>
      <c r="M80" s="83" t="n"/>
      <c r="N80" s="83" t="n"/>
      <c r="O80" s="83" t="n"/>
      <c r="P80" s="83" t="n"/>
    </row>
    <row r="81" ht="20.1" customHeight="1">
      <c r="A81" s="69" t="n"/>
      <c r="B81" s="201" t="n"/>
      <c r="C81" s="93" t="n"/>
      <c r="D81" s="93" t="n"/>
      <c r="E81" s="84" t="n"/>
      <c r="F81" s="85" t="n"/>
      <c r="G81" s="86" t="n"/>
      <c r="H81" s="214" t="n"/>
      <c r="I81" s="69" t="n"/>
      <c r="J81" s="69" t="n"/>
      <c r="K81" s="69" t="n"/>
      <c r="L81" s="69" t="n"/>
      <c r="M81" s="69" t="n"/>
      <c r="N81" s="69" t="n"/>
      <c r="O81" s="69" t="n"/>
      <c r="P81" s="69" t="n"/>
    </row>
    <row r="82" ht="20.1" customHeight="1">
      <c r="A82" s="83" t="n"/>
      <c r="B82" s="205" t="n"/>
      <c r="C82" s="96" t="n"/>
      <c r="D82" s="96" t="n"/>
      <c r="E82" s="87" t="n"/>
      <c r="F82" s="81" t="n"/>
      <c r="G82" s="82" t="n"/>
      <c r="H82" s="83" t="n"/>
      <c r="I82" s="83" t="n"/>
      <c r="J82" s="83" t="n"/>
      <c r="K82" s="83" t="n"/>
      <c r="L82" s="83" t="n"/>
      <c r="M82" s="83" t="n"/>
      <c r="N82" s="83" t="n"/>
      <c r="O82" s="83" t="n"/>
      <c r="P82" s="83" t="n"/>
    </row>
    <row r="83" ht="20.1" customHeight="1">
      <c r="A83" s="69" t="n"/>
      <c r="B83" s="201" t="n"/>
      <c r="C83" s="93" t="n"/>
      <c r="D83" s="93" t="n"/>
      <c r="E83" s="84" t="n"/>
      <c r="F83" s="85" t="n"/>
      <c r="G83" s="86" t="n"/>
      <c r="H83" s="214" t="n"/>
      <c r="I83" s="69" t="n"/>
      <c r="J83" s="69" t="n"/>
      <c r="K83" s="69" t="n"/>
      <c r="L83" s="69" t="n"/>
      <c r="M83" s="69" t="n"/>
      <c r="N83" s="69" t="n"/>
      <c r="O83" s="69" t="n"/>
      <c r="P83" s="69" t="n"/>
    </row>
    <row r="84" ht="20.1" customHeight="1">
      <c r="A84" s="83" t="n"/>
      <c r="B84" s="205" t="n"/>
      <c r="C84" s="96" t="n"/>
      <c r="D84" s="96" t="n"/>
      <c r="E84" s="87" t="n"/>
      <c r="F84" s="81" t="n"/>
      <c r="G84" s="82" t="n"/>
      <c r="H84" s="83" t="n"/>
      <c r="I84" s="83" t="n"/>
      <c r="J84" s="83" t="n"/>
      <c r="K84" s="83" t="n"/>
      <c r="L84" s="83" t="n"/>
      <c r="M84" s="83" t="n"/>
      <c r="N84" s="83" t="n"/>
      <c r="O84" s="83" t="n"/>
      <c r="P84" s="83" t="n"/>
    </row>
    <row r="85" ht="20.1" customHeight="1">
      <c r="A85" s="69" t="n"/>
      <c r="B85" s="201" t="n"/>
      <c r="C85" s="93" t="n"/>
      <c r="D85" s="93" t="n"/>
      <c r="E85" s="84" t="n"/>
      <c r="F85" s="85" t="n"/>
      <c r="G85" s="86" t="n"/>
      <c r="H85" s="214" t="n"/>
      <c r="I85" s="69" t="n"/>
      <c r="J85" s="69" t="n"/>
      <c r="K85" s="69" t="n"/>
      <c r="L85" s="69" t="n"/>
      <c r="M85" s="69" t="n"/>
      <c r="N85" s="69" t="n"/>
      <c r="O85" s="69" t="n"/>
      <c r="P85" s="69" t="n"/>
    </row>
    <row r="86" ht="20.1" customHeight="1">
      <c r="A86" s="83" t="n"/>
      <c r="B86" s="205" t="n"/>
      <c r="C86" s="96" t="n"/>
      <c r="D86" s="96" t="n"/>
      <c r="E86" s="87" t="n"/>
      <c r="F86" s="81" t="n"/>
      <c r="G86" s="82" t="n"/>
      <c r="H86" s="83" t="n"/>
      <c r="I86" s="83" t="n"/>
      <c r="J86" s="83" t="n"/>
      <c r="K86" s="83" t="n"/>
      <c r="L86" s="83" t="n"/>
      <c r="M86" s="83" t="n"/>
      <c r="N86" s="83" t="n"/>
      <c r="O86" s="83" t="n"/>
      <c r="P86" s="83" t="n"/>
    </row>
    <row r="87" ht="20.1" customHeight="1">
      <c r="A87" s="69" t="n"/>
      <c r="B87" s="201" t="n"/>
      <c r="C87" s="93" t="n"/>
      <c r="D87" s="93" t="n"/>
      <c r="E87" s="84" t="n"/>
      <c r="F87" s="85" t="n"/>
      <c r="G87" s="86" t="n"/>
      <c r="H87" s="214" t="n"/>
      <c r="I87" s="69" t="n"/>
      <c r="J87" s="69" t="n"/>
      <c r="K87" s="69" t="n"/>
      <c r="L87" s="69" t="n"/>
      <c r="M87" s="69" t="n"/>
      <c r="N87" s="69" t="n"/>
      <c r="O87" s="69" t="n"/>
      <c r="P87" s="69" t="n"/>
    </row>
    <row r="88" ht="20.1" customHeight="1">
      <c r="A88" s="83" t="n"/>
      <c r="B88" s="205" t="n"/>
      <c r="C88" s="96" t="n"/>
      <c r="D88" s="96" t="n"/>
      <c r="E88" s="87" t="n"/>
      <c r="F88" s="81" t="n"/>
      <c r="G88" s="82" t="n"/>
      <c r="H88" s="83" t="n"/>
      <c r="I88" s="83" t="n"/>
      <c r="J88" s="83" t="n"/>
      <c r="K88" s="83" t="n"/>
      <c r="L88" s="83" t="n"/>
      <c r="M88" s="83" t="n"/>
      <c r="N88" s="83" t="n"/>
      <c r="O88" s="83" t="n"/>
      <c r="P88" s="83" t="n"/>
    </row>
    <row r="89" ht="20.1" customHeight="1">
      <c r="A89" s="69" t="n"/>
      <c r="B89" s="201" t="n"/>
      <c r="C89" s="93" t="n"/>
      <c r="D89" s="93" t="n"/>
      <c r="E89" s="84" t="n"/>
      <c r="F89" s="85" t="n"/>
      <c r="G89" s="86" t="n"/>
      <c r="H89" s="214" t="n"/>
      <c r="I89" s="69" t="n"/>
      <c r="J89" s="69" t="n"/>
      <c r="K89" s="69" t="n"/>
      <c r="L89" s="69" t="n"/>
      <c r="M89" s="69" t="n"/>
      <c r="N89" s="69" t="n"/>
      <c r="O89" s="69" t="n"/>
      <c r="P89" s="69" t="n"/>
    </row>
    <row r="90" ht="20.1" customHeight="1">
      <c r="A90" s="83" t="n"/>
      <c r="B90" s="205" t="n"/>
      <c r="C90" s="96" t="n"/>
      <c r="D90" s="96" t="n"/>
      <c r="E90" s="87" t="n"/>
      <c r="F90" s="81" t="n"/>
      <c r="G90" s="82" t="n"/>
      <c r="H90" s="83" t="n"/>
      <c r="I90" s="83" t="n"/>
      <c r="J90" s="83" t="n"/>
      <c r="K90" s="83" t="n"/>
      <c r="L90" s="83" t="n"/>
      <c r="M90" s="83" t="n"/>
      <c r="N90" s="83" t="n"/>
      <c r="O90" s="83" t="n"/>
      <c r="P90" s="83" t="n"/>
    </row>
    <row r="91" ht="20.1" customHeight="1">
      <c r="A91" s="69" t="n"/>
      <c r="B91" s="201" t="n"/>
      <c r="C91" s="93" t="n"/>
      <c r="D91" s="93" t="n"/>
      <c r="E91" s="84" t="n"/>
      <c r="F91" s="85" t="n"/>
      <c r="G91" s="86" t="n"/>
      <c r="H91" s="214" t="n"/>
      <c r="I91" s="69" t="n"/>
      <c r="J91" s="69" t="n"/>
      <c r="K91" s="69" t="n"/>
      <c r="L91" s="69" t="n"/>
      <c r="M91" s="69" t="n"/>
      <c r="N91" s="69" t="n"/>
      <c r="O91" s="69" t="n"/>
      <c r="P91" s="69" t="n"/>
    </row>
    <row r="92" ht="20.1" customHeight="1">
      <c r="A92" s="83" t="n"/>
      <c r="B92" s="205" t="n"/>
      <c r="C92" s="96" t="n"/>
      <c r="D92" s="96" t="n"/>
      <c r="E92" s="87" t="n"/>
      <c r="F92" s="81" t="n"/>
      <c r="G92" s="82" t="n"/>
      <c r="H92" s="83" t="n"/>
      <c r="I92" s="83" t="n"/>
      <c r="J92" s="83" t="n"/>
      <c r="K92" s="83" t="n"/>
      <c r="L92" s="83" t="n"/>
      <c r="M92" s="83" t="n"/>
      <c r="N92" s="83" t="n"/>
      <c r="O92" s="83" t="n"/>
      <c r="P92" s="83" t="n"/>
    </row>
    <row r="93" ht="20.1" customHeight="1">
      <c r="A93" s="69" t="n"/>
      <c r="B93" s="201" t="n"/>
      <c r="C93" s="93" t="n"/>
      <c r="D93" s="93" t="n"/>
      <c r="E93" s="84" t="n"/>
      <c r="F93" s="85" t="n"/>
      <c r="G93" s="86" t="n"/>
      <c r="H93" s="214" t="n"/>
      <c r="I93" s="69" t="n"/>
      <c r="J93" s="69" t="n"/>
      <c r="K93" s="69" t="n"/>
      <c r="L93" s="69" t="n"/>
      <c r="M93" s="69" t="n"/>
      <c r="N93" s="69" t="n"/>
      <c r="O93" s="69" t="n"/>
      <c r="P93" s="69" t="n"/>
    </row>
    <row r="94" ht="20.1" customHeight="1">
      <c r="A94" s="83" t="n"/>
      <c r="B94" s="205" t="n"/>
      <c r="C94" s="96" t="n"/>
      <c r="D94" s="96" t="n"/>
      <c r="E94" s="87" t="n"/>
      <c r="F94" s="81" t="n"/>
      <c r="G94" s="82" t="n"/>
      <c r="H94" s="83" t="n"/>
      <c r="I94" s="83" t="n"/>
      <c r="J94" s="83" t="n"/>
      <c r="K94" s="83" t="n"/>
      <c r="L94" s="83" t="n"/>
      <c r="M94" s="83" t="n"/>
      <c r="N94" s="83" t="n"/>
      <c r="O94" s="83" t="n"/>
      <c r="P94" s="83" t="n"/>
    </row>
    <row r="95" ht="20.1" customHeight="1">
      <c r="A95" s="69" t="n"/>
      <c r="B95" s="201" t="n"/>
      <c r="C95" s="93" t="n"/>
      <c r="D95" s="93" t="n"/>
      <c r="E95" s="84" t="n"/>
      <c r="F95" s="85" t="n"/>
      <c r="G95" s="86" t="n"/>
      <c r="H95" s="214" t="n"/>
      <c r="I95" s="69" t="n"/>
      <c r="J95" s="69" t="n"/>
      <c r="K95" s="69" t="n"/>
      <c r="L95" s="69" t="n"/>
      <c r="M95" s="69" t="n"/>
      <c r="N95" s="69" t="n"/>
      <c r="O95" s="69" t="n"/>
      <c r="P95" s="69" t="n"/>
    </row>
    <row r="96" ht="20.1" customHeight="1">
      <c r="A96" s="83" t="n"/>
      <c r="B96" s="205" t="n"/>
      <c r="C96" s="96" t="n"/>
      <c r="D96" s="96" t="n"/>
      <c r="E96" s="87" t="n"/>
      <c r="F96" s="81" t="n"/>
      <c r="G96" s="82" t="n"/>
      <c r="H96" s="83" t="n"/>
      <c r="I96" s="83" t="n"/>
      <c r="J96" s="83" t="n"/>
      <c r="K96" s="83" t="n"/>
      <c r="L96" s="83" t="n"/>
      <c r="M96" s="83" t="n"/>
      <c r="N96" s="83" t="n"/>
      <c r="O96" s="83" t="n"/>
      <c r="P96" s="83" t="n"/>
    </row>
    <row r="97" ht="20.1" customHeight="1">
      <c r="A97" s="69" t="n"/>
      <c r="B97" s="201" t="n"/>
      <c r="C97" s="93" t="n"/>
      <c r="D97" s="93" t="n"/>
      <c r="E97" s="84" t="n"/>
      <c r="F97" s="85" t="n"/>
      <c r="G97" s="86" t="n"/>
      <c r="H97" s="214" t="n"/>
      <c r="I97" s="69" t="n"/>
      <c r="J97" s="69" t="n"/>
      <c r="K97" s="69" t="n"/>
      <c r="L97" s="69" t="n"/>
      <c r="M97" s="69" t="n"/>
      <c r="N97" s="69" t="n"/>
      <c r="O97" s="69" t="n"/>
      <c r="P97" s="69" t="n"/>
    </row>
    <row r="98" ht="20.1" customHeight="1">
      <c r="A98" s="83" t="n"/>
      <c r="B98" s="205" t="n"/>
      <c r="C98" s="96" t="n"/>
      <c r="D98" s="96" t="n"/>
      <c r="E98" s="87" t="n"/>
      <c r="F98" s="81" t="n"/>
      <c r="G98" s="82" t="n"/>
      <c r="H98" s="83" t="n"/>
      <c r="I98" s="83" t="n"/>
      <c r="J98" s="83" t="n"/>
      <c r="K98" s="83" t="n"/>
      <c r="L98" s="83" t="n"/>
      <c r="M98" s="83" t="n"/>
      <c r="N98" s="83" t="n"/>
      <c r="O98" s="83" t="n"/>
      <c r="P98" s="83" t="n"/>
    </row>
    <row r="99" ht="20.1" customHeight="1">
      <c r="A99" s="69" t="n"/>
      <c r="B99" s="201" t="n"/>
      <c r="C99" s="93" t="n"/>
      <c r="D99" s="93" t="n"/>
      <c r="E99" s="84" t="n"/>
      <c r="F99" s="85" t="n"/>
      <c r="G99" s="86" t="n"/>
      <c r="H99" s="214" t="n"/>
      <c r="I99" s="69" t="n"/>
      <c r="J99" s="69" t="n"/>
      <c r="K99" s="69" t="n"/>
      <c r="L99" s="69" t="n"/>
      <c r="M99" s="69" t="n"/>
      <c r="N99" s="69" t="n"/>
      <c r="O99" s="69" t="n"/>
      <c r="P99" s="69" t="n"/>
    </row>
    <row r="100" ht="20.1" customHeight="1">
      <c r="A100" s="83" t="n"/>
      <c r="B100" s="205" t="n"/>
      <c r="C100" s="96" t="n"/>
      <c r="D100" s="96" t="n"/>
      <c r="E100" s="87" t="n"/>
      <c r="F100" s="81" t="n"/>
      <c r="G100" s="82" t="n"/>
      <c r="H100" s="83" t="n"/>
      <c r="I100" s="83" t="n"/>
      <c r="J100" s="83" t="n"/>
      <c r="K100" s="83" t="n"/>
      <c r="L100" s="83" t="n"/>
      <c r="M100" s="83" t="n"/>
      <c r="N100" s="83" t="n"/>
      <c r="O100" s="83" t="n"/>
      <c r="P100" s="83" t="n"/>
    </row>
    <row r="101" ht="20.1" customHeight="1">
      <c r="A101" s="69" t="n"/>
      <c r="B101" s="201" t="n"/>
      <c r="C101" s="93" t="n"/>
      <c r="D101" s="93" t="n"/>
      <c r="E101" s="84" t="n"/>
      <c r="F101" s="85" t="n"/>
      <c r="G101" s="86" t="n"/>
      <c r="H101" s="214" t="n"/>
      <c r="I101" s="69" t="n"/>
      <c r="J101" s="69" t="n"/>
      <c r="K101" s="69" t="n"/>
      <c r="L101" s="69" t="n"/>
      <c r="M101" s="69" t="n"/>
      <c r="N101" s="69" t="n"/>
      <c r="O101" s="69" t="n"/>
      <c r="P101" s="69" t="n"/>
    </row>
    <row r="102" ht="20.1" customHeight="1">
      <c r="A102" s="83" t="n"/>
      <c r="B102" s="205" t="n"/>
      <c r="C102" s="96" t="n"/>
      <c r="D102" s="96" t="n"/>
      <c r="E102" s="87" t="n"/>
      <c r="F102" s="81" t="n"/>
      <c r="G102" s="82" t="n"/>
      <c r="H102" s="83" t="n"/>
      <c r="I102" s="83" t="n"/>
      <c r="J102" s="83" t="n"/>
      <c r="K102" s="83" t="n"/>
      <c r="L102" s="83" t="n"/>
      <c r="M102" s="83" t="n"/>
      <c r="N102" s="83" t="n"/>
      <c r="O102" s="83" t="n"/>
      <c r="P102" s="83" t="n"/>
    </row>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sheetData>
  <mergeCells count="117">
    <mergeCell ref="B98:D98"/>
    <mergeCell ref="B99:D99"/>
    <mergeCell ref="B100:D100"/>
    <mergeCell ref="B101:D101"/>
    <mergeCell ref="B102:D102"/>
    <mergeCell ref="A17:A18"/>
    <mergeCell ref="A24:A25"/>
    <mergeCell ref="B26:F27"/>
    <mergeCell ref="G26:P27"/>
    <mergeCell ref="B89:D89"/>
    <mergeCell ref="B90:D90"/>
    <mergeCell ref="B91:D91"/>
    <mergeCell ref="B92:D92"/>
    <mergeCell ref="B93:D93"/>
    <mergeCell ref="B94:D94"/>
    <mergeCell ref="B95:D95"/>
    <mergeCell ref="B96:D96"/>
    <mergeCell ref="B97:D97"/>
    <mergeCell ref="B80:D80"/>
    <mergeCell ref="B81:D81"/>
    <mergeCell ref="B82:D82"/>
    <mergeCell ref="B83:D83"/>
    <mergeCell ref="B84:D84"/>
    <mergeCell ref="B85:D85"/>
    <mergeCell ref="B67:D67"/>
    <mergeCell ref="B68:D68"/>
    <mergeCell ref="B69:D69"/>
    <mergeCell ref="B70:D70"/>
    <mergeCell ref="B86:D86"/>
    <mergeCell ref="B87:D87"/>
    <mergeCell ref="B88:D88"/>
    <mergeCell ref="B71:D71"/>
    <mergeCell ref="B72:D72"/>
    <mergeCell ref="B73:D73"/>
    <mergeCell ref="B74:D74"/>
    <mergeCell ref="B75:D75"/>
    <mergeCell ref="B76:D76"/>
    <mergeCell ref="B77:D77"/>
    <mergeCell ref="B78:D78"/>
    <mergeCell ref="B79:D79"/>
    <mergeCell ref="B59:D59"/>
    <mergeCell ref="B60:D60"/>
    <mergeCell ref="B61:D61"/>
    <mergeCell ref="B62:D62"/>
    <mergeCell ref="B63:D63"/>
    <mergeCell ref="B64:D64"/>
    <mergeCell ref="B65:D65"/>
    <mergeCell ref="B66:D66"/>
    <mergeCell ref="B51:D51"/>
    <mergeCell ref="B52:D52"/>
    <mergeCell ref="B53:D53"/>
    <mergeCell ref="B54:D54"/>
    <mergeCell ref="B55:D55"/>
    <mergeCell ref="B56:D56"/>
    <mergeCell ref="B57:D57"/>
    <mergeCell ref="B58:D58"/>
    <mergeCell ref="G58:N58"/>
    <mergeCell ref="B42:D42"/>
    <mergeCell ref="B43:D43"/>
    <mergeCell ref="B44:D44"/>
    <mergeCell ref="B45:D45"/>
    <mergeCell ref="B46:D46"/>
    <mergeCell ref="B47:D47"/>
    <mergeCell ref="B48:D48"/>
    <mergeCell ref="B49:D49"/>
    <mergeCell ref="B50:D50"/>
    <mergeCell ref="B33:D33"/>
    <mergeCell ref="B34:D34"/>
    <mergeCell ref="B35:D35"/>
    <mergeCell ref="B36:D36"/>
    <mergeCell ref="B37:D37"/>
    <mergeCell ref="B38:D38"/>
    <mergeCell ref="B39:D39"/>
    <mergeCell ref="B40:D40"/>
    <mergeCell ref="B41:D41"/>
    <mergeCell ref="B23:F23"/>
    <mergeCell ref="B24:P24"/>
    <mergeCell ref="B25:P25"/>
    <mergeCell ref="B28:D28"/>
    <mergeCell ref="B29:D29"/>
    <mergeCell ref="B30:D30"/>
    <mergeCell ref="B31:D31"/>
    <mergeCell ref="B32:D32"/>
    <mergeCell ref="K23:L23"/>
    <mergeCell ref="N23:P23"/>
    <mergeCell ref="C16:F16"/>
    <mergeCell ref="C17:P17"/>
    <mergeCell ref="B18:P18"/>
    <mergeCell ref="B19:F19"/>
    <mergeCell ref="G19:P19"/>
    <mergeCell ref="B20:P20"/>
    <mergeCell ref="B21:P21"/>
    <mergeCell ref="B22:F22"/>
    <mergeCell ref="G22:P22"/>
    <mergeCell ref="A9:B9"/>
    <mergeCell ref="A10:B10"/>
    <mergeCell ref="C10:P10"/>
    <mergeCell ref="A11:B11"/>
    <mergeCell ref="D11:E11"/>
    <mergeCell ref="G13:P13"/>
    <mergeCell ref="C14:P14"/>
    <mergeCell ref="C9:K9"/>
    <mergeCell ref="M9:P9"/>
    <mergeCell ref="G11:H11"/>
    <mergeCell ref="O11:P11"/>
    <mergeCell ref="A12:B12"/>
    <mergeCell ref="C2:G2"/>
    <mergeCell ref="C3:F3"/>
    <mergeCell ref="J6:K6"/>
    <mergeCell ref="O6:P6"/>
    <mergeCell ref="B7:H7"/>
    <mergeCell ref="O7:P7"/>
    <mergeCell ref="A8:B8"/>
    <mergeCell ref="G8:H8"/>
    <mergeCell ref="I8:J8"/>
    <mergeCell ref="M8:P8"/>
    <mergeCell ref="J7:M7"/>
  </mergeCells>
  <conditionalFormatting sqref="O6">
    <cfRule type="expression" priority="3" dxfId="5">
      <formula>$O$6="F"</formula>
    </cfRule>
    <cfRule type="expression" priority="4" dxfId="5">
      <formula>$O$6="M"</formula>
    </cfRule>
  </conditionalFormatting>
  <conditionalFormatting sqref="F8:G8">
    <cfRule type="expression" priority="5">
      <formula>$O$6="F"</formula>
    </cfRule>
    <cfRule type="expression" priority="6" dxfId="5">
      <formula>$O$6="M"</formula>
    </cfRule>
  </conditionalFormatting>
  <dataValidations count="12">
    <dataValidation sqref="D6" showErrorMessage="1" showInputMessage="1" allowBlank="1" errorTitle="FECHA FUERA DE RANGO" error="Esta Seleccionando una Fecha fuera de Rango" type="date">
      <formula1>D6</formula1>
      <formula2>B6</formula2>
    </dataValidation>
    <dataValidation sqref="M6" showErrorMessage="1" showInputMessage="1" allowBlank="1" type="list">
      <formula1>CAMAS</formula1>
    </dataValidation>
    <dataValidation sqref="O6" showErrorMessage="1" showInputMessage="1" allowBlank="1" type="list">
      <formula1>" --  , M, F"</formula1>
    </dataValidation>
    <dataValidation sqref="B7" showErrorMessage="1" showInputMessage="1" allowBlank="1" type="custom">
      <formula1>ISTEXT(B7)</formula1>
    </dataValidation>
    <dataValidation sqref="N7" showErrorMessage="1" showInputMessage="1" allowBlank="1" error="Solo se admite numero" type="custom">
      <formula1>ISNUMBER(N7)</formula1>
    </dataValidation>
    <dataValidation sqref="N11" showErrorMessage="1" showDropDown="1" showInputMessage="1" allowBlank="1" type="list">
      <formula1>$Y$18:$Y$19</formula1>
    </dataValidation>
    <dataValidation sqref="C16:F16" showErrorMessage="1" showInputMessage="1" allowBlank="1" type="list">
      <formula1>AISLAMIENTO</formula1>
    </dataValidation>
    <dataValidation sqref="B19:F19" showErrorMessage="1" showInputMessage="1" allowBlank="1" type="list">
      <formula1>VM</formula1>
    </dataValidation>
    <dataValidation sqref="B21:N21" showErrorMessage="1" showInputMessage="1" allowBlank="0" type="list">
      <formula1>SA</formula1>
    </dataValidation>
    <dataValidation sqref="B22:F22" showErrorMessage="1" showInputMessage="1" allowBlank="0" type="list">
      <formula1>"--,1,2,3,4,5,6,7,8,9,10"</formula1>
    </dataValidation>
    <dataValidation sqref="B23:F23" showErrorMessage="1" showInputMessage="1" allowBlank="0" type="list">
      <formula1>RASS</formula1>
    </dataValidation>
    <dataValidation sqref="B28 B36 B32 B34 B42 B38 B40 B61 B44 B46 B48 B101 B30 B50 B56 B54 B59 B63 B65 B67 B69 B71 B73 B75 B77 B79 B81 B83 B85 B87 B89 B91 B93 B95 B97 B99 B52" showErrorMessage="1" showInputMessage="1" allowBlank="1" type="list">
      <formula1>Arsenal</formula1>
    </dataValidation>
  </dataValidations>
  <pageMargins left="0" right="0" top="0.1968503937007874" bottom="0.1968503937007874" header="0.3149606299212598" footer="0.3149606299212598"/>
  <pageSetup orientation="portrait" paperSize="123" scale="66" fitToHeight="0"/>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Hoja4">
    <outlinePr summaryBelow="1" summaryRight="1"/>
    <pageSetUpPr/>
  </sheetPr>
  <dimension ref="A1:AX53"/>
  <sheetViews>
    <sheetView workbookViewId="0">
      <selection activeCell="B12" sqref="B12"/>
    </sheetView>
  </sheetViews>
  <sheetFormatPr baseColWidth="10" defaultColWidth="11" defaultRowHeight="13.5"/>
  <cols>
    <col width="43" customWidth="1" min="1" max="1"/>
    <col width="14.875" customWidth="1" min="4" max="4"/>
    <col width="23.25" customWidth="1" min="5" max="5"/>
    <col width="19.375" customWidth="1" min="6" max="6"/>
    <col width="18.75" customWidth="1" min="7" max="7"/>
  </cols>
  <sheetData>
    <row r="1" ht="27" customHeight="1">
      <c r="A1" s="10" t="inlineStr">
        <is>
          <t>UCI-UTI PEDIATRICA</t>
        </is>
      </c>
      <c r="D1" s="11" t="inlineStr">
        <is>
          <t>RECETA MÉDICA</t>
        </is>
      </c>
    </row>
    <row r="2">
      <c r="A2" s="12" t="inlineStr">
        <is>
          <t>HOSPITAL BASE VALDIVIA</t>
        </is>
      </c>
    </row>
    <row r="3"/>
    <row r="4" ht="14.25" customHeight="1">
      <c r="A4" s="13" t="inlineStr">
        <is>
          <t>Fecha</t>
        </is>
      </c>
      <c r="B4" s="307" t="inlineStr">
        <is>
          <t>{{fechaReceta}}</t>
        </is>
      </c>
      <c r="C4" s="261" t="n"/>
      <c r="D4" s="262" t="n"/>
      <c r="E4" s="14" t="n"/>
      <c r="F4" s="13" t="inlineStr">
        <is>
          <t>Nombre Médico</t>
        </is>
      </c>
      <c r="G4" s="15" t="inlineStr">
        <is>
          <t>{{nombrePacienteReceta}}</t>
        </is>
      </c>
    </row>
    <row r="5" ht="14.25" customHeight="1">
      <c r="A5" s="16" t="inlineStr">
        <is>
          <t>Nombre Paciente</t>
        </is>
      </c>
      <c r="B5" s="308">
        <f>'Indicaciones médicas'!B7</f>
        <v/>
      </c>
      <c r="C5" s="261" t="n"/>
      <c r="D5" s="262" t="n"/>
      <c r="E5" s="14" t="n"/>
      <c r="F5" s="17" t="inlineStr">
        <is>
          <t>Fono UCIP</t>
        </is>
      </c>
      <c r="G5" s="18" t="inlineStr">
        <is>
          <t>633651 - 633654</t>
        </is>
      </c>
    </row>
    <row r="6" ht="14.25" customHeight="1">
      <c r="A6" s="19" t="inlineStr">
        <is>
          <t>N° Ficha clínica</t>
        </is>
      </c>
      <c r="B6" s="309" t="inlineStr">
        <is>
          <t>{{fichaReceta}}</t>
        </is>
      </c>
      <c r="C6" s="310" t="n"/>
      <c r="D6" s="311" t="n"/>
      <c r="E6" s="14" t="n"/>
      <c r="F6" s="20" t="inlineStr">
        <is>
          <t>Fono Farmacia</t>
        </is>
      </c>
      <c r="G6" s="21" t="inlineStr">
        <is>
          <t>633610 - 633617</t>
        </is>
      </c>
    </row>
    <row r="7" ht="14.25" customHeight="1">
      <c r="A7" s="22" t="inlineStr">
        <is>
          <t>Servicio / Cama</t>
        </is>
      </c>
      <c r="B7" s="312" t="inlineStr">
        <is>
          <t>{{camaReceta}}</t>
        </is>
      </c>
      <c r="C7" s="261" t="n"/>
      <c r="D7" s="262" t="n"/>
      <c r="E7" s="14" t="n"/>
      <c r="F7" s="23" t="inlineStr">
        <is>
          <t>Días Despacho</t>
        </is>
      </c>
      <c r="G7" s="24" t="n">
        <v>0</v>
      </c>
    </row>
    <row r="8" ht="14.25" customHeight="1">
      <c r="A8" s="25" t="inlineStr">
        <is>
          <t>Peso (kg)</t>
        </is>
      </c>
      <c r="B8" s="313" t="inlineStr">
        <is>
          <t>{{pesoReceta}}</t>
        </is>
      </c>
      <c r="C8" s="314" t="n"/>
      <c r="D8" s="265" t="n"/>
      <c r="E8" s="14" t="n"/>
      <c r="F8" s="26" t="n"/>
      <c r="G8" s="315" t="n"/>
    </row>
    <row r="9" ht="14.25" customHeight="1">
      <c r="A9" s="27" t="inlineStr">
        <is>
          <t>Edad</t>
        </is>
      </c>
      <c r="B9" s="316" t="inlineStr">
        <is>
          <t>{{edadReceta}}</t>
        </is>
      </c>
      <c r="C9" s="261" t="n"/>
      <c r="D9" s="262" t="n"/>
      <c r="E9" s="14" t="n"/>
      <c r="F9" s="28" t="inlineStr">
        <is>
          <t>Firma Médico</t>
        </is>
      </c>
      <c r="G9" s="317" t="n"/>
    </row>
    <row r="10" ht="14.25" customHeight="1">
      <c r="A10" s="29" t="inlineStr">
        <is>
          <t>Diagnósticos</t>
        </is>
      </c>
      <c r="B10" s="318" t="inlineStr">
        <is>
          <t>{{diagnosticoReceta}}</t>
        </is>
      </c>
      <c r="C10" s="261" t="n"/>
      <c r="D10" s="262" t="n"/>
      <c r="F10" s="30" t="n"/>
      <c r="G10" s="319" t="n"/>
    </row>
    <row r="11">
      <c r="B11" s="31" t="n"/>
      <c r="C11" s="31" t="n"/>
      <c r="D11" s="31" t="n"/>
    </row>
    <row r="12">
      <c r="A12" s="32" t="inlineStr">
        <is>
          <t>MEDICAMENTOS</t>
        </is>
      </c>
      <c r="B12" s="32" t="inlineStr">
        <is>
          <t>DOSIS /</t>
        </is>
      </c>
      <c r="C12" s="33" t="inlineStr">
        <is>
          <t>UNIDAD /</t>
        </is>
      </c>
      <c r="D12" s="33" t="inlineStr">
        <is>
          <t>VIA DE ADM. /</t>
        </is>
      </c>
      <c r="E12" s="33" t="inlineStr">
        <is>
          <t>INTERVALO (Hrs) /</t>
        </is>
      </c>
      <c r="F12" s="34" t="inlineStr">
        <is>
          <t>DIAS DE DESPACHO</t>
        </is>
      </c>
      <c r="G12" s="35" t="inlineStr">
        <is>
          <t>VALIDACION</t>
        </is>
      </c>
    </row>
    <row r="13">
      <c r="A13" s="246">
        <f>'Indicaciones médicas'!B28</f>
        <v/>
      </c>
      <c r="B13" s="251">
        <f>'Indicaciones médicas'!B29</f>
        <v/>
      </c>
      <c r="C13" s="289" t="n"/>
      <c r="D13" s="289" t="n"/>
      <c r="E13" s="289" t="n"/>
      <c r="F13" s="290" t="n"/>
      <c r="G13" s="37" t="n"/>
    </row>
    <row r="14">
      <c r="A14" s="38">
        <f>'Indicaciones médicas'!B30</f>
        <v/>
      </c>
      <c r="B14" s="250">
        <f>'Indicaciones médicas'!B31</f>
        <v/>
      </c>
      <c r="C14" s="93" t="n"/>
      <c r="D14" s="93" t="n"/>
      <c r="E14" s="93" t="n"/>
      <c r="F14" s="94" t="n"/>
      <c r="G14" s="39" t="n"/>
    </row>
    <row r="15">
      <c r="A15" s="251">
        <f>'Indicaciones médicas'!B32</f>
        <v/>
      </c>
      <c r="B15" s="251">
        <f>'Indicaciones médicas'!B33</f>
        <v/>
      </c>
      <c r="C15" s="289" t="n"/>
      <c r="D15" s="289" t="n"/>
      <c r="E15" s="289" t="n"/>
      <c r="F15" s="290" t="n"/>
      <c r="G15" s="41" t="n"/>
    </row>
    <row r="16">
      <c r="A16" s="251">
        <f>'Indicaciones médicas'!B34</f>
        <v/>
      </c>
      <c r="B16" s="251">
        <f>'Indicaciones médicas'!B35</f>
        <v/>
      </c>
      <c r="C16" s="289" t="n"/>
      <c r="D16" s="289" t="n"/>
      <c r="E16" s="289" t="n"/>
      <c r="F16" s="290" t="n"/>
      <c r="G16" s="41" t="n"/>
    </row>
    <row r="17">
      <c r="A17" s="251">
        <f>'Indicaciones médicas'!B36</f>
        <v/>
      </c>
      <c r="B17" s="251">
        <f>'Indicaciones médicas'!B37</f>
        <v/>
      </c>
      <c r="C17" s="289" t="n"/>
      <c r="D17" s="289" t="n"/>
      <c r="E17" s="289" t="n"/>
      <c r="F17" s="290" t="n"/>
      <c r="G17" s="41" t="n"/>
    </row>
    <row r="18">
      <c r="A18" s="251">
        <f>'Indicaciones médicas'!B38</f>
        <v/>
      </c>
      <c r="B18" s="251">
        <f>'Indicaciones médicas'!B39</f>
        <v/>
      </c>
      <c r="C18" s="289" t="n"/>
      <c r="D18" s="289" t="n"/>
      <c r="E18" s="289" t="n"/>
      <c r="F18" s="290" t="n"/>
      <c r="G18" s="41" t="n"/>
    </row>
    <row r="19">
      <c r="A19" s="251">
        <f>'Indicaciones médicas'!B40</f>
        <v/>
      </c>
      <c r="B19" s="251">
        <f>'Indicaciones médicas'!B41</f>
        <v/>
      </c>
      <c r="C19" s="289" t="n"/>
      <c r="D19" s="289" t="n"/>
      <c r="E19" s="289" t="n"/>
      <c r="F19" s="290" t="n"/>
      <c r="G19" s="41" t="n"/>
    </row>
    <row r="20">
      <c r="A20" s="251">
        <f>'Indicaciones médicas'!B42</f>
        <v/>
      </c>
      <c r="B20" s="251">
        <f>'Indicaciones médicas'!B43</f>
        <v/>
      </c>
      <c r="C20" s="289" t="n"/>
      <c r="D20" s="289" t="n"/>
      <c r="E20" s="289" t="n"/>
      <c r="F20" s="290" t="n"/>
      <c r="G20" s="41" t="n"/>
    </row>
    <row r="21">
      <c r="A21" s="251">
        <f>'Indicaciones médicas'!B44</f>
        <v/>
      </c>
      <c r="B21" s="251">
        <f>'Indicaciones médicas'!B45</f>
        <v/>
      </c>
      <c r="C21" s="289" t="n"/>
      <c r="D21" s="289" t="n"/>
      <c r="E21" s="289" t="n"/>
      <c r="F21" s="290" t="n"/>
      <c r="G21" s="41" t="n"/>
    </row>
    <row r="22">
      <c r="A22" s="251">
        <f>'Indicaciones médicas'!B46</f>
        <v/>
      </c>
      <c r="B22" s="251">
        <f>'Indicaciones médicas'!B47</f>
        <v/>
      </c>
      <c r="C22" s="289" t="n"/>
      <c r="D22" s="289" t="n"/>
      <c r="E22" s="289" t="n"/>
      <c r="F22" s="290" t="n"/>
      <c r="G22" s="41" t="n"/>
    </row>
    <row r="23">
      <c r="A23" s="251">
        <f>'Indicaciones médicas'!B48</f>
        <v/>
      </c>
      <c r="B23" s="251">
        <f>'Indicaciones médicas'!B49</f>
        <v/>
      </c>
      <c r="C23" s="289" t="n"/>
      <c r="D23" s="289" t="n"/>
      <c r="E23" s="289" t="n"/>
      <c r="F23" s="290" t="n"/>
      <c r="G23" s="41" t="n"/>
    </row>
    <row r="24">
      <c r="A24" s="251">
        <f>'Indicaciones médicas'!B50</f>
        <v/>
      </c>
      <c r="B24" s="251">
        <f>'Indicaciones médicas'!B51</f>
        <v/>
      </c>
      <c r="C24" s="289" t="n"/>
      <c r="D24" s="289" t="n"/>
      <c r="E24" s="289" t="n"/>
      <c r="F24" s="290" t="n"/>
      <c r="G24" s="251" t="n"/>
    </row>
    <row r="25">
      <c r="A25" s="251">
        <f>'Indicaciones médicas'!B52</f>
        <v/>
      </c>
      <c r="B25" s="251">
        <f>'Indicaciones médicas'!B53</f>
        <v/>
      </c>
      <c r="C25" s="289" t="n"/>
      <c r="D25" s="289" t="n"/>
      <c r="E25" s="289" t="n"/>
      <c r="F25" s="290" t="n"/>
      <c r="G25" s="251" t="n"/>
    </row>
    <row r="26">
      <c r="A26" s="251">
        <f>'Indicaciones médicas'!#REF!</f>
        <v/>
      </c>
      <c r="B26" s="251">
        <f>'Indicaciones médicas'!#REF!</f>
        <v/>
      </c>
      <c r="C26" s="289" t="n"/>
      <c r="D26" s="289" t="n"/>
      <c r="E26" s="289" t="n"/>
      <c r="F26" s="290" t="n"/>
      <c r="G26" s="251" t="n"/>
    </row>
    <row r="27">
      <c r="A27" s="251">
        <f>'Indicaciones médicas'!#REF!</f>
        <v/>
      </c>
      <c r="B27" s="251">
        <f>'Indicaciones médicas'!#REF!</f>
        <v/>
      </c>
      <c r="C27" s="289" t="n"/>
      <c r="D27" s="289" t="n"/>
      <c r="E27" s="289" t="n"/>
      <c r="F27" s="290" t="n"/>
      <c r="G27" s="251" t="n"/>
    </row>
    <row r="28">
      <c r="A28" s="251">
        <f>'Indicaciones médicas'!#REF!</f>
        <v/>
      </c>
      <c r="B28" s="251">
        <f>'Indicaciones médicas'!#REF!</f>
        <v/>
      </c>
      <c r="C28" s="289" t="n"/>
      <c r="D28" s="289" t="n"/>
      <c r="E28" s="289" t="n"/>
      <c r="F28" s="290" t="n"/>
      <c r="G28" s="251" t="n"/>
    </row>
    <row r="29">
      <c r="A29" s="251">
        <f>'Indicaciones médicas'!#REF!</f>
        <v/>
      </c>
      <c r="B29" s="251">
        <f>'Indicaciones médicas'!#REF!</f>
        <v/>
      </c>
      <c r="C29" s="289" t="n"/>
      <c r="D29" s="289" t="n"/>
      <c r="E29" s="289" t="n"/>
      <c r="F29" s="290" t="n"/>
      <c r="G29" s="251" t="n"/>
    </row>
    <row r="30">
      <c r="A30" s="251">
        <f>'Indicaciones médicas'!#REF!</f>
        <v/>
      </c>
      <c r="B30" s="251">
        <f>'Indicaciones médicas'!#REF!</f>
        <v/>
      </c>
      <c r="C30" s="289" t="n"/>
      <c r="D30" s="289" t="n"/>
      <c r="E30" s="289" t="n"/>
      <c r="F30" s="290" t="n"/>
      <c r="G30" s="251" t="n"/>
    </row>
    <row r="31">
      <c r="A31" s="251">
        <f>'Indicaciones médicas'!B54</f>
        <v/>
      </c>
      <c r="B31" s="251">
        <f>'Indicaciones médicas'!B55</f>
        <v/>
      </c>
      <c r="C31" s="289" t="n"/>
      <c r="D31" s="289" t="n"/>
      <c r="E31" s="289" t="n"/>
      <c r="F31" s="290" t="n"/>
      <c r="G31" s="251" t="n"/>
    </row>
    <row r="32">
      <c r="A32" s="251">
        <f>'Indicaciones médicas'!B56</f>
        <v/>
      </c>
      <c r="B32" s="251">
        <f>'Indicaciones médicas'!B57</f>
        <v/>
      </c>
      <c r="C32" s="289" t="n"/>
      <c r="D32" s="289" t="n"/>
      <c r="E32" s="289" t="n"/>
      <c r="F32" s="290" t="n"/>
      <c r="G32" s="251" t="n"/>
    </row>
    <row r="33">
      <c r="A33" s="251">
        <f>'Indicaciones médicas'!#REF!</f>
        <v/>
      </c>
      <c r="B33" s="251">
        <f>'Indicaciones médicas'!#REF!</f>
        <v/>
      </c>
      <c r="C33" s="289" t="n"/>
      <c r="D33" s="289" t="n"/>
      <c r="E33" s="289" t="n"/>
      <c r="F33" s="290" t="n"/>
      <c r="G33" s="251" t="n"/>
    </row>
    <row r="34">
      <c r="A34" s="251">
        <f>'Indicaciones médicas'!B55</f>
        <v/>
      </c>
      <c r="B34" s="251">
        <f>'Indicaciones médicas'!B56</f>
        <v/>
      </c>
      <c r="C34" s="289" t="n"/>
      <c r="D34" s="289" t="n"/>
      <c r="E34" s="289" t="n"/>
      <c r="F34" s="290" t="n"/>
      <c r="G34" s="251" t="n"/>
    </row>
    <row r="35">
      <c r="A35" s="251">
        <f>'Indicaciones médicas'!B57</f>
        <v/>
      </c>
      <c r="B35" s="251">
        <f>'Indicaciones médicas'!#REF!</f>
        <v/>
      </c>
      <c r="C35" s="289" t="n"/>
      <c r="D35" s="289" t="n"/>
      <c r="E35" s="289" t="n"/>
      <c r="F35" s="290" t="n"/>
      <c r="G35" s="251" t="n"/>
    </row>
    <row r="36">
      <c r="A36" s="251">
        <f>'Indicaciones médicas'!#REF!</f>
        <v/>
      </c>
      <c r="B36" s="251">
        <f>'Indicaciones médicas'!#REF!</f>
        <v/>
      </c>
      <c r="C36" s="289" t="n"/>
      <c r="D36" s="289" t="n"/>
      <c r="E36" s="289" t="n"/>
      <c r="F36" s="290" t="n"/>
      <c r="G36" s="251" t="n"/>
    </row>
    <row r="37">
      <c r="A37" s="251">
        <f>'Indicaciones médicas'!#REF!</f>
        <v/>
      </c>
      <c r="B37" s="251">
        <f>'Indicaciones médicas'!#REF!</f>
        <v/>
      </c>
      <c r="C37" s="289" t="n"/>
      <c r="D37" s="289" t="n"/>
      <c r="E37" s="289" t="n"/>
      <c r="F37" s="290" t="n"/>
      <c r="G37" s="251" t="n"/>
    </row>
    <row r="38">
      <c r="A38" s="251">
        <f>'Indicaciones médicas'!B58</f>
        <v/>
      </c>
      <c r="B38" s="251">
        <f>'Indicaciones médicas'!#REF!</f>
        <v/>
      </c>
      <c r="C38" s="289" t="n"/>
      <c r="D38" s="289" t="n"/>
      <c r="E38" s="289" t="n"/>
      <c r="F38" s="290" t="n"/>
      <c r="G38" s="251" t="n"/>
    </row>
    <row r="39">
      <c r="A39" s="251">
        <f>'Indicaciones médicas'!B59</f>
        <v/>
      </c>
      <c r="B39" s="251">
        <f>'Indicaciones médicas'!B60</f>
        <v/>
      </c>
      <c r="C39" s="289" t="n"/>
      <c r="D39" s="289" t="n"/>
      <c r="E39" s="289" t="n"/>
      <c r="F39" s="290" t="n"/>
      <c r="G39" s="251" t="n"/>
    </row>
    <row r="40">
      <c r="A40" s="251">
        <f>'Indicaciones médicas'!B61</f>
        <v/>
      </c>
      <c r="B40" s="251">
        <f>'Indicaciones médicas'!B62</f>
        <v/>
      </c>
      <c r="C40" s="289" t="n"/>
      <c r="D40" s="289" t="n"/>
      <c r="E40" s="289" t="n"/>
      <c r="F40" s="290" t="n"/>
      <c r="G40" s="251" t="n"/>
    </row>
    <row r="41">
      <c r="A41" s="251">
        <f>'Indicaciones médicas'!B63</f>
        <v/>
      </c>
      <c r="B41" s="251">
        <f>'Indicaciones médicas'!B64</f>
        <v/>
      </c>
      <c r="C41" s="289" t="n"/>
      <c r="D41" s="289" t="n"/>
      <c r="E41" s="289" t="n"/>
      <c r="F41" s="290" t="n"/>
      <c r="G41" s="251" t="n"/>
    </row>
    <row r="42">
      <c r="A42" s="251">
        <f>'Indicaciones médicas'!B65</f>
        <v/>
      </c>
      <c r="B42" s="251">
        <f>'Indicaciones médicas'!B66</f>
        <v/>
      </c>
      <c r="C42" s="289" t="n"/>
      <c r="D42" s="289" t="n"/>
      <c r="E42" s="289" t="n"/>
      <c r="F42" s="290" t="n"/>
      <c r="G42" s="251" t="n"/>
    </row>
    <row r="43">
      <c r="A43" s="251">
        <f>'Indicaciones médicas'!B67</f>
        <v/>
      </c>
      <c r="B43" s="251">
        <f>'Indicaciones médicas'!B68</f>
        <v/>
      </c>
      <c r="C43" s="289" t="n"/>
      <c r="D43" s="289" t="n"/>
      <c r="E43" s="289" t="n"/>
      <c r="F43" s="290" t="n"/>
      <c r="G43" s="251" t="n"/>
    </row>
    <row r="44">
      <c r="A44" s="251">
        <f>'Indicaciones médicas'!B69</f>
        <v/>
      </c>
      <c r="B44" s="251">
        <f>'Indicaciones médicas'!B70</f>
        <v/>
      </c>
      <c r="C44" s="289" t="n"/>
      <c r="D44" s="289" t="n"/>
      <c r="E44" s="289" t="n"/>
      <c r="F44" s="290" t="n"/>
      <c r="G44" s="251" t="n"/>
    </row>
    <row r="45">
      <c r="A45" s="251">
        <f>'Indicaciones médicas'!B71</f>
        <v/>
      </c>
      <c r="B45" s="251">
        <f>'Indicaciones médicas'!B72</f>
        <v/>
      </c>
      <c r="C45" s="289" t="n"/>
      <c r="D45" s="289" t="n"/>
      <c r="E45" s="289" t="n"/>
      <c r="F45" s="290" t="n"/>
      <c r="G45" s="251" t="n"/>
    </row>
    <row r="46">
      <c r="A46" s="251">
        <f>'Indicaciones médicas'!B73</f>
        <v/>
      </c>
      <c r="B46" s="251">
        <f>'Indicaciones médicas'!B74</f>
        <v/>
      </c>
      <c r="C46" s="289" t="n"/>
      <c r="D46" s="289" t="n"/>
      <c r="E46" s="289" t="n"/>
      <c r="F46" s="290" t="n"/>
      <c r="G46" s="251" t="n"/>
    </row>
    <row r="47">
      <c r="A47" s="251">
        <f>'Indicaciones médicas'!B75</f>
        <v/>
      </c>
      <c r="B47" s="251">
        <f>'Indicaciones médicas'!B76</f>
        <v/>
      </c>
      <c r="C47" s="289" t="n"/>
      <c r="D47" s="289" t="n"/>
      <c r="E47" s="289" t="n"/>
      <c r="F47" s="290" t="n"/>
      <c r="G47" s="251" t="n"/>
    </row>
    <row r="48">
      <c r="A48" s="251">
        <f>'Indicaciones médicas'!B77</f>
        <v/>
      </c>
      <c r="B48" s="251">
        <f>'Indicaciones médicas'!B78</f>
        <v/>
      </c>
      <c r="C48" s="289" t="n"/>
      <c r="D48" s="289" t="n"/>
      <c r="E48" s="289" t="n"/>
      <c r="F48" s="290" t="n"/>
      <c r="G48" s="251" t="n"/>
    </row>
    <row r="49">
      <c r="A49" s="251">
        <f>'Indicaciones médicas'!B79</f>
        <v/>
      </c>
      <c r="B49" s="251">
        <f>'Indicaciones médicas'!B80</f>
        <v/>
      </c>
      <c r="C49" s="289" t="n"/>
      <c r="D49" s="289" t="n"/>
      <c r="E49" s="289" t="n"/>
      <c r="F49" s="290" t="n"/>
      <c r="G49" s="251" t="n"/>
    </row>
    <row r="50">
      <c r="A50" s="251">
        <f>'Indicaciones médicas'!B81</f>
        <v/>
      </c>
      <c r="B50" s="251">
        <f>'Indicaciones médicas'!B82</f>
        <v/>
      </c>
      <c r="C50" s="289" t="n"/>
      <c r="D50" s="289" t="n"/>
      <c r="E50" s="289" t="n"/>
      <c r="F50" s="290" t="n"/>
      <c r="G50" s="251" t="n"/>
    </row>
    <row r="51">
      <c r="A51" s="251">
        <f>'Indicaciones médicas'!B83</f>
        <v/>
      </c>
      <c r="B51" s="251">
        <f>'Indicaciones médicas'!B84</f>
        <v/>
      </c>
      <c r="C51" s="289" t="n"/>
      <c r="D51" s="289" t="n"/>
      <c r="E51" s="289" t="n"/>
      <c r="F51" s="290" t="n"/>
      <c r="G51" s="251" t="n"/>
    </row>
    <row r="52">
      <c r="A52" s="251">
        <f>'Indicaciones médicas'!B85</f>
        <v/>
      </c>
      <c r="B52" s="251">
        <f>'Indicaciones médicas'!B86</f>
        <v/>
      </c>
      <c r="C52" s="289" t="n"/>
      <c r="D52" s="289" t="n"/>
      <c r="E52" s="289" t="n"/>
      <c r="F52" s="290" t="n"/>
      <c r="G52" s="251" t="n"/>
    </row>
    <row r="53">
      <c r="A53" s="251">
        <f>'Indicaciones médicas'!B87</f>
        <v/>
      </c>
      <c r="B53" s="251">
        <f>'Indicaciones médicas'!B88</f>
        <v/>
      </c>
      <c r="C53" s="289" t="n"/>
      <c r="D53" s="289" t="n"/>
      <c r="E53" s="289" t="n"/>
      <c r="F53" s="290" t="n"/>
      <c r="G53" s="251" t="n"/>
    </row>
  </sheetData>
  <mergeCells count="49">
    <mergeCell ref="B51:F51"/>
    <mergeCell ref="B52:F52"/>
    <mergeCell ref="B53:F53"/>
    <mergeCell ref="G8:G10"/>
    <mergeCell ref="B46:F46"/>
    <mergeCell ref="B47:F47"/>
    <mergeCell ref="B48:F48"/>
    <mergeCell ref="B49:F49"/>
    <mergeCell ref="B50:F50"/>
    <mergeCell ref="B41:F41"/>
    <mergeCell ref="B42:F42"/>
    <mergeCell ref="B43:F43"/>
    <mergeCell ref="B44:F44"/>
    <mergeCell ref="B45:F45"/>
    <mergeCell ref="B36:F36"/>
    <mergeCell ref="B37:F37"/>
    <mergeCell ref="B38:F38"/>
    <mergeCell ref="B39:F39"/>
    <mergeCell ref="B40:F40"/>
    <mergeCell ref="B31:F31"/>
    <mergeCell ref="B32:F32"/>
    <mergeCell ref="B33:F33"/>
    <mergeCell ref="B34:F34"/>
    <mergeCell ref="B35:F35"/>
    <mergeCell ref="B26:F26"/>
    <mergeCell ref="B27:F27"/>
    <mergeCell ref="B28:F28"/>
    <mergeCell ref="B29:F29"/>
    <mergeCell ref="B30:F30"/>
    <mergeCell ref="B21:F21"/>
    <mergeCell ref="B22:F22"/>
    <mergeCell ref="B23:F23"/>
    <mergeCell ref="B24:F24"/>
    <mergeCell ref="B25:F25"/>
    <mergeCell ref="B16:F16"/>
    <mergeCell ref="B17:F17"/>
    <mergeCell ref="B18:F18"/>
    <mergeCell ref="B19:F19"/>
    <mergeCell ref="B20:F20"/>
    <mergeCell ref="B9:D9"/>
    <mergeCell ref="B10:D10"/>
    <mergeCell ref="B13:F13"/>
    <mergeCell ref="B14:F14"/>
    <mergeCell ref="B15:F15"/>
    <mergeCell ref="B4:D4"/>
    <mergeCell ref="B5:D5"/>
    <mergeCell ref="B6:D6"/>
    <mergeCell ref="B7:D7"/>
    <mergeCell ref="B8:D8"/>
  </mergeCells>
  <pageMargins left="0.7" right="0.7" top="0.75" bottom="0.75" header="0.3" footer="0.3"/>
</worksheet>
</file>

<file path=xl/worksheets/sheet3.xml><?xml version="1.0" encoding="utf-8"?>
<worksheet xmlns="http://schemas.openxmlformats.org/spreadsheetml/2006/main">
  <sheetPr codeName="Hoja3">
    <outlinePr summaryBelow="1" summaryRight="1"/>
    <pageSetUpPr/>
  </sheetPr>
  <dimension ref="D1:E904"/>
  <sheetViews>
    <sheetView topLeftCell="A223" workbookViewId="0">
      <selection activeCell="J285" sqref="J285"/>
    </sheetView>
  </sheetViews>
  <sheetFormatPr baseColWidth="10" defaultColWidth="11" defaultRowHeight="14.25"/>
  <cols>
    <col width="11.125" customWidth="1" style="8" min="4" max="4"/>
    <col width="34.375" customWidth="1" style="8" min="5" max="5"/>
    <col width="30.625" customWidth="1" min="10" max="10"/>
  </cols>
  <sheetData>
    <row r="1">
      <c r="D1" s="9" t="inlineStr">
        <is>
          <t>COD_ARTICU</t>
        </is>
      </c>
      <c r="E1" s="9" t="inlineStr">
        <is>
          <t>NOM_ARTICU</t>
        </is>
      </c>
    </row>
    <row r="2">
      <c r="D2" s="8" t="n">
        <v>2140110</v>
      </c>
      <c r="E2" s="8" t="inlineStr">
        <is>
          <t>AC.ACETIL SALICIL 100MG CM (C</t>
        </is>
      </c>
    </row>
    <row r="3">
      <c r="D3" s="8" t="n">
        <v>2140115</v>
      </c>
      <c r="E3" s="8" t="inlineStr">
        <is>
          <t>AC.ACETIL SALICIL 500MG CM (C</t>
        </is>
      </c>
    </row>
    <row r="4">
      <c r="D4" s="8" t="n">
        <v>2160060</v>
      </c>
      <c r="E4" s="8" t="inlineStr">
        <is>
          <t>AC.ASCORBICO AM 100 MG/1ML</t>
        </is>
      </c>
    </row>
    <row r="5">
      <c r="D5" s="8" t="n">
        <v>2140127</v>
      </c>
      <c r="E5" s="8" t="inlineStr">
        <is>
          <t>AC.ASCORBICO CM 100 MG (CJ X</t>
        </is>
      </c>
    </row>
    <row r="6">
      <c r="D6" s="8" t="n">
        <v>2160070</v>
      </c>
      <c r="E6" s="8" t="inlineStr">
        <is>
          <t xml:space="preserve">AC.TRANEXAMICO 1000 MG AM 10 </t>
        </is>
      </c>
    </row>
    <row r="7">
      <c r="D7" s="8" t="n">
        <v>2170100</v>
      </c>
      <c r="E7" s="124" t="inlineStr">
        <is>
          <t>AC.VALPROICO GTS10MG /GT (300mg=0,8ml)</t>
        </is>
      </c>
    </row>
    <row r="8">
      <c r="D8" s="8" t="n">
        <v>2140200</v>
      </c>
      <c r="E8" s="8" t="inlineStr">
        <is>
          <t>AC.VALPROICO CM 200 MG(CJX100</t>
        </is>
      </c>
    </row>
    <row r="9">
      <c r="D9" s="8" t="n">
        <v>2140205</v>
      </c>
      <c r="E9" s="8" t="inlineStr">
        <is>
          <t>AC.VALPROICO CM 250 MG (ATEMP</t>
        </is>
      </c>
    </row>
    <row r="10">
      <c r="D10" s="8" t="n">
        <v>2140220</v>
      </c>
      <c r="E10" s="8" t="inlineStr">
        <is>
          <t>AC.VALPROICO CM 500 MG LIB PRO</t>
        </is>
      </c>
    </row>
    <row r="11">
      <c r="D11" s="8" t="n">
        <v>2170200</v>
      </c>
      <c r="E11" s="8" t="inlineStr">
        <is>
          <t>AC.VALPROICO JARABE 250 MG/5M</t>
        </is>
      </c>
    </row>
    <row r="12">
      <c r="D12" s="8" t="n">
        <v>2140055</v>
      </c>
      <c r="E12" s="8" t="inlineStr">
        <is>
          <t>ACENOCUMAROL CM 4 MG</t>
        </is>
      </c>
    </row>
    <row r="13">
      <c r="D13" s="8" t="n">
        <v>2160080</v>
      </c>
      <c r="E13" s="8" t="inlineStr">
        <is>
          <t>ACETATO SODIO 30% AM 10 ML</t>
        </is>
      </c>
    </row>
    <row r="14">
      <c r="D14" s="8" t="n">
        <v>2140070</v>
      </c>
      <c r="E14" s="8" t="inlineStr">
        <is>
          <t>ACETAZOLAMIDA CM 250 MG(CJ100</t>
        </is>
      </c>
    </row>
    <row r="15">
      <c r="D15" s="8" t="n">
        <v>2130095</v>
      </c>
      <c r="E15" s="8" t="inlineStr">
        <is>
          <t>ACICLOVIR CM 200 MG</t>
        </is>
      </c>
    </row>
    <row r="16">
      <c r="D16" s="8" t="n">
        <v>2130100</v>
      </c>
      <c r="E16" s="8" t="inlineStr">
        <is>
          <t>ACICLOVIR CM 400 MG</t>
        </is>
      </c>
    </row>
    <row r="17">
      <c r="D17" s="8" t="n">
        <v>2130105</v>
      </c>
      <c r="E17" s="8" t="inlineStr">
        <is>
          <t>ACICLOVIR CM 800 MG</t>
        </is>
      </c>
    </row>
    <row r="18">
      <c r="D18" s="8" t="n">
        <v>2130150</v>
      </c>
      <c r="E18" s="8" t="inlineStr">
        <is>
          <t>ACICLOVIR FA 250 MG</t>
        </is>
      </c>
    </row>
    <row r="19">
      <c r="D19" s="8" t="n">
        <v>2130200</v>
      </c>
      <c r="E19" s="8" t="inlineStr">
        <is>
          <t>ACICLOVIR TU 3% UNG OFT 4,5G</t>
        </is>
      </c>
    </row>
    <row r="20">
      <c r="D20" s="8" t="n">
        <v>2140160</v>
      </c>
      <c r="E20" s="8" t="inlineStr">
        <is>
          <t>ACIDO FOLICO CM 1 MG (CJX100)</t>
        </is>
      </c>
    </row>
    <row r="21">
      <c r="D21" s="8" t="n">
        <v>2162274</v>
      </c>
      <c r="E21" s="8" t="inlineStr">
        <is>
          <t>ACIDO GADOTERICO 0,5 MMOL/ML</t>
        </is>
      </c>
    </row>
    <row r="22">
      <c r="D22" s="8" t="n">
        <v>2140185</v>
      </c>
      <c r="E22" s="8" t="inlineStr">
        <is>
          <t>ACIDO TRANEXAMICO CM 500 MG (</t>
        </is>
      </c>
    </row>
    <row r="23">
      <c r="D23" s="8" t="n">
        <v>2198400</v>
      </c>
      <c r="E23" s="8" t="inlineStr">
        <is>
          <t xml:space="preserve">ACIDO TRANSRETINOICO CP 10MG </t>
        </is>
      </c>
    </row>
    <row r="24">
      <c r="D24" s="8" t="n">
        <v>2140130</v>
      </c>
      <c r="E24" s="8" t="inlineStr">
        <is>
          <t>ACIDO URSODEOXICOLICO CP 250</t>
        </is>
      </c>
    </row>
    <row r="25">
      <c r="D25" s="8" t="n">
        <v>2160095</v>
      </c>
      <c r="E25" s="8" t="inlineStr">
        <is>
          <t>ACIDO VALPROICO 500MG/5ML FA</t>
        </is>
      </c>
    </row>
    <row r="26">
      <c r="D26" s="8" t="n">
        <v>2016800</v>
      </c>
      <c r="E26" s="8" t="inlineStr">
        <is>
          <t>ACIDO ZOLEDRONICO FA 4 MG</t>
        </is>
      </c>
    </row>
    <row r="27">
      <c r="D27" s="8" t="n">
        <v>2620101</v>
      </c>
      <c r="E27" s="8" t="inlineStr">
        <is>
          <t>ADALIMUMAB 40 MG/0,8 ML JER</t>
        </is>
      </c>
    </row>
    <row r="28">
      <c r="D28" s="8" t="n">
        <v>2170300</v>
      </c>
      <c r="E28" s="8" t="inlineStr">
        <is>
          <t>ADAPALENO GEL 0,1% TUBO 30 GR</t>
        </is>
      </c>
    </row>
    <row r="29">
      <c r="D29" s="8" t="n">
        <v>2160040</v>
      </c>
      <c r="E29" s="8" t="inlineStr">
        <is>
          <t>ADENOSINA 6MG /2ML</t>
        </is>
      </c>
    </row>
    <row r="30">
      <c r="D30" s="8" t="n">
        <v>2160045</v>
      </c>
      <c r="E30" s="8" t="inlineStr">
        <is>
          <t>ADRENALINA 0,3MG/0,3 ML JER. P</t>
        </is>
      </c>
    </row>
    <row r="31">
      <c r="D31" s="8" t="n">
        <v>2180160</v>
      </c>
      <c r="E31" s="8" t="inlineStr">
        <is>
          <t>AGUA BIDESTILADA AM 1.000 ML</t>
        </is>
      </c>
    </row>
    <row r="32">
      <c r="D32" s="8" t="n">
        <v>2160110</v>
      </c>
      <c r="E32" s="8" t="inlineStr">
        <is>
          <t>AGUA BIDESTILADA AM 10ML (X100</t>
        </is>
      </c>
    </row>
    <row r="33">
      <c r="D33" s="8" t="n">
        <v>2180150</v>
      </c>
      <c r="E33" s="8" t="inlineStr">
        <is>
          <t>AGUA BIDESTILADA AM 500 ML(CJX</t>
        </is>
      </c>
    </row>
    <row r="34">
      <c r="D34" s="8" t="n">
        <v>2160105</v>
      </c>
      <c r="E34" s="8" t="inlineStr">
        <is>
          <t>AGUA BIDESTILADA AM 5ML (X100</t>
        </is>
      </c>
    </row>
    <row r="35">
      <c r="D35" s="8" t="n">
        <v>2140260</v>
      </c>
      <c r="E35" s="8" t="inlineStr">
        <is>
          <t>ALBENDAZOL CM 200 MG</t>
        </is>
      </c>
    </row>
    <row r="36">
      <c r="D36" s="8" t="n">
        <v>2621000</v>
      </c>
      <c r="E36" s="8" t="inlineStr">
        <is>
          <t>ALBUMINA HUMANA 20% FA50 ML</t>
        </is>
      </c>
    </row>
    <row r="37">
      <c r="D37" s="8" t="n">
        <v>2100645</v>
      </c>
      <c r="E37" s="8" t="inlineStr">
        <is>
          <t>ALCOHOL YODADO 0,5% FC 125 ML</t>
        </is>
      </c>
    </row>
    <row r="38">
      <c r="D38" s="8" t="n">
        <v>2140280</v>
      </c>
      <c r="E38" s="8" t="inlineStr">
        <is>
          <t>ALENDRONATO COMP 70 MG.</t>
        </is>
      </c>
    </row>
    <row r="39">
      <c r="D39" s="8" t="n">
        <v>2108690</v>
      </c>
      <c r="E39" s="8" t="inlineStr">
        <is>
          <t>ALOPURINOL 0.12 % SUSPENSION</t>
        </is>
      </c>
    </row>
    <row r="40">
      <c r="D40" s="8" t="n">
        <v>2140315</v>
      </c>
      <c r="E40" s="8" t="inlineStr">
        <is>
          <t>ALOPURINOL CM 100 MG</t>
        </is>
      </c>
    </row>
    <row r="41">
      <c r="D41" s="8" t="n">
        <v>2120350</v>
      </c>
      <c r="E41" s="8" t="inlineStr">
        <is>
          <t>ALPRAZOLAM CM 0,5 MG (CJX30CM</t>
        </is>
      </c>
    </row>
    <row r="42">
      <c r="D42" s="8" t="n">
        <v>2100700</v>
      </c>
      <c r="E42" s="8" t="inlineStr">
        <is>
          <t>ALQUITRAN 10% EN VASELINA</t>
        </is>
      </c>
    </row>
    <row r="43">
      <c r="D43" s="8" t="n">
        <v>2160091</v>
      </c>
      <c r="E43" s="8" t="inlineStr">
        <is>
          <t>ALTEPLASA (ACTIVADOR PLASMINO</t>
        </is>
      </c>
    </row>
    <row r="44">
      <c r="D44" s="8" t="n">
        <v>2170282</v>
      </c>
      <c r="E44" s="8" t="inlineStr">
        <is>
          <t>ALUMINIO HIDROXIDO GEL 6% FC</t>
        </is>
      </c>
    </row>
    <row r="45">
      <c r="D45" s="8" t="n">
        <v>2140060</v>
      </c>
      <c r="E45" s="8" t="inlineStr">
        <is>
          <t>AMANTADINA CM 100MG</t>
        </is>
      </c>
    </row>
    <row r="46">
      <c r="D46" s="8" t="n">
        <v>2140065</v>
      </c>
      <c r="E46" s="8" t="inlineStr">
        <is>
          <t>AMBRISENTAN CM 5 MG</t>
        </is>
      </c>
    </row>
    <row r="47">
      <c r="D47" s="8" t="n">
        <v>2130330</v>
      </c>
      <c r="E47" s="8" t="inlineStr">
        <is>
          <t>AMIKACINA SULF FA 100 MG/2ML</t>
        </is>
      </c>
    </row>
    <row r="48">
      <c r="D48" s="8" t="n">
        <v>2130335</v>
      </c>
      <c r="E48" s="8" t="inlineStr">
        <is>
          <t>AMIKACINA SULF FA 500 MG/2ML</t>
        </is>
      </c>
    </row>
    <row r="49">
      <c r="D49" s="8" t="n">
        <v>2160230</v>
      </c>
      <c r="E49" s="8" t="inlineStr">
        <is>
          <t>AMINOFILINA AM 250 MG/10ML</t>
        </is>
      </c>
    </row>
    <row r="50">
      <c r="D50" s="8" t="n">
        <v>2160250</v>
      </c>
      <c r="E50" s="8" t="inlineStr">
        <is>
          <t>AMIODARONA CLH AM 150 MG/3ML</t>
        </is>
      </c>
    </row>
    <row r="51">
      <c r="D51" s="8" t="n">
        <v>2140365</v>
      </c>
      <c r="E51" s="8" t="inlineStr">
        <is>
          <t>AMIODARONA CLORH CM 200 MG</t>
        </is>
      </c>
    </row>
    <row r="52">
      <c r="D52" s="8" t="n">
        <v>2140370</v>
      </c>
      <c r="E52" s="8" t="inlineStr">
        <is>
          <t>AMITRIPTILINA CM 25 MG  (CJX1</t>
        </is>
      </c>
    </row>
    <row r="53">
      <c r="D53" s="8" t="n">
        <v>2142942</v>
      </c>
      <c r="E53" s="8" t="inlineStr">
        <is>
          <t>AMLODIPINO CM 10 MG</t>
        </is>
      </c>
    </row>
    <row r="54">
      <c r="D54" s="8" t="n">
        <v>2100896</v>
      </c>
      <c r="E54" s="8" t="inlineStr">
        <is>
          <t>AMLODIPINO JBE 1MG/ML</t>
        </is>
      </c>
    </row>
    <row r="55">
      <c r="D55" s="8" t="n">
        <v>2130392</v>
      </c>
      <c r="E55" s="8" t="inlineStr">
        <is>
          <t>AMOXICIL/CLAV. CM 875 MG/125</t>
        </is>
      </c>
    </row>
    <row r="56">
      <c r="D56" s="8" t="n">
        <v>2130393</v>
      </c>
      <c r="E56" s="8" t="inlineStr">
        <is>
          <t>AMOXICIL/CLAVU CM 500/125  MG</t>
        </is>
      </c>
    </row>
    <row r="57">
      <c r="D57" s="8" t="n">
        <v>2130385</v>
      </c>
      <c r="E57" s="8" t="inlineStr">
        <is>
          <t>AMOXICILINA CM 500 MG</t>
        </is>
      </c>
    </row>
    <row r="58">
      <c r="D58" s="8" t="n">
        <v>2130391</v>
      </c>
      <c r="E58" s="8" t="inlineStr">
        <is>
          <t>AMOXICILINA JBE 500 MG/5ML (FC</t>
        </is>
      </c>
    </row>
    <row r="59">
      <c r="D59" s="8" t="n">
        <v>2130396</v>
      </c>
      <c r="E59" s="8" t="inlineStr">
        <is>
          <t>AMOXICILINA/CLAVULANICO 800/5</t>
        </is>
      </c>
    </row>
    <row r="60">
      <c r="D60" s="8" t="n">
        <v>2130406</v>
      </c>
      <c r="E60" s="8" t="inlineStr">
        <is>
          <t>AMPICILINA CM 500 MG (CJX500)</t>
        </is>
      </c>
    </row>
    <row r="61">
      <c r="D61" s="8" t="n">
        <v>2130415</v>
      </c>
      <c r="E61" s="8" t="inlineStr">
        <is>
          <t>AMPICILINA FA 500 MG (CJX100)</t>
        </is>
      </c>
    </row>
    <row r="62">
      <c r="D62" s="8" t="n">
        <v>2190595</v>
      </c>
      <c r="E62" s="8" t="inlineStr">
        <is>
          <t>ANAGRELIDE 0.5 MG CP</t>
        </is>
      </c>
    </row>
    <row r="63">
      <c r="D63" s="8" t="n">
        <v>2190600</v>
      </c>
      <c r="E63" s="8" t="inlineStr">
        <is>
          <t>ANASTRAZOL 1MG CM BIOEQUIVALE</t>
        </is>
      </c>
    </row>
    <row r="64">
      <c r="D64" s="8" t="n">
        <v>2120415</v>
      </c>
      <c r="E64" s="8" t="inlineStr">
        <is>
          <t>ANFETAMINA CM 10 MG CJX1000 C</t>
        </is>
      </c>
    </row>
    <row r="65">
      <c r="D65" s="8" t="n">
        <v>2130450</v>
      </c>
      <c r="E65" s="8" t="inlineStr">
        <is>
          <t>ANFOTERICINA B FA 50 MG</t>
        </is>
      </c>
    </row>
    <row r="66">
      <c r="D66" s="8" t="n">
        <v>2140463</v>
      </c>
      <c r="E66" s="8" t="inlineStr">
        <is>
          <t>ANTIDIARREICO SO  PEDIAT. CJX</t>
        </is>
      </c>
    </row>
    <row r="67">
      <c r="D67" s="8" t="n">
        <v>2160280</v>
      </c>
      <c r="E67" s="8" t="inlineStr">
        <is>
          <t>ANTIESPASMODICO  AM ADULTO</t>
        </is>
      </c>
    </row>
    <row r="68">
      <c r="D68" s="8" t="n">
        <v>2140465</v>
      </c>
      <c r="E68" s="8" t="inlineStr">
        <is>
          <t>ANTIESPASMODICO CM P/ADULTO</t>
        </is>
      </c>
    </row>
    <row r="69">
      <c r="D69" s="8" t="n">
        <v>2170360</v>
      </c>
      <c r="E69" s="8" t="inlineStr">
        <is>
          <t>ANTIESPASMODICO SUP ADULTO</t>
        </is>
      </c>
    </row>
    <row r="70">
      <c r="D70" s="8" t="n">
        <v>2190620</v>
      </c>
      <c r="E70" s="8" t="inlineStr">
        <is>
          <t>APREPITANT CAP 125-80-80 (EME</t>
        </is>
      </c>
    </row>
    <row r="71">
      <c r="D71" s="8" t="n">
        <v>2140468</v>
      </c>
      <c r="E71" s="8" t="inlineStr">
        <is>
          <t>ARIPIPRAZOL CM 10 MG</t>
        </is>
      </c>
    </row>
    <row r="72">
      <c r="D72" s="8" t="n">
        <v>2140467</v>
      </c>
      <c r="E72" s="8" t="inlineStr">
        <is>
          <t>ARIPIPRAZOL CM 5 MG</t>
        </is>
      </c>
    </row>
    <row r="73">
      <c r="D73" s="8" t="n">
        <v>2170380</v>
      </c>
      <c r="E73" s="8" t="inlineStr">
        <is>
          <t>ARIPIPRAZOL SOL. ORAL 1 MG/ML</t>
        </is>
      </c>
    </row>
    <row r="74">
      <c r="D74" s="8" t="n">
        <v>2198820</v>
      </c>
      <c r="E74" s="8" t="inlineStr">
        <is>
          <t>ASCIMINIB 40 MG CMP</t>
        </is>
      </c>
    </row>
    <row r="75">
      <c r="D75" s="8" t="n">
        <v>2195644</v>
      </c>
      <c r="E75" s="8" t="inlineStr">
        <is>
          <t>ASPARAGINASA FA 10.000 UI</t>
        </is>
      </c>
    </row>
    <row r="76">
      <c r="D76" s="8" t="n">
        <v>2140500</v>
      </c>
      <c r="E76" s="8" t="inlineStr">
        <is>
          <t>ATENOLOL CM 50 MG</t>
        </is>
      </c>
    </row>
    <row r="77">
      <c r="D77" s="8" t="n">
        <v>2140480</v>
      </c>
      <c r="E77" s="8" t="inlineStr">
        <is>
          <t>ATORVASTATINA 20 MG</t>
        </is>
      </c>
    </row>
    <row r="78">
      <c r="D78" s="8" t="n">
        <v>2628580</v>
      </c>
      <c r="E78" s="8" t="inlineStr">
        <is>
          <t>ATRACURIO BESILAT AM 25MG/2,5M</t>
        </is>
      </c>
    </row>
    <row r="79">
      <c r="D79" s="8" t="n">
        <v>2170510</v>
      </c>
      <c r="E79" s="8" t="inlineStr">
        <is>
          <t xml:space="preserve">ATROPINA SULF 1% SOL OFT    </t>
        </is>
      </c>
    </row>
    <row r="80">
      <c r="D80" s="8" t="n">
        <v>2160310</v>
      </c>
      <c r="E80" s="8" t="inlineStr">
        <is>
          <t>ATROPINA SULF AM 1 MG/1ML</t>
        </is>
      </c>
    </row>
    <row r="81">
      <c r="D81" s="8" t="n">
        <v>2140570</v>
      </c>
      <c r="E81" s="8" t="inlineStr">
        <is>
          <t>AZATIOPRINA CM 50 MG(IMURAN)</t>
        </is>
      </c>
    </row>
    <row r="82">
      <c r="D82" s="8" t="n">
        <v>2170515</v>
      </c>
      <c r="E82" s="8" t="inlineStr">
        <is>
          <t>AZITROMICINA 200MG/5ML SUSP.</t>
        </is>
      </c>
    </row>
    <row r="83">
      <c r="D83" s="8" t="n">
        <v>2130501</v>
      </c>
      <c r="E83" s="8" t="inlineStr">
        <is>
          <t>AZITROMICINA CM 500 MG</t>
        </is>
      </c>
    </row>
    <row r="84">
      <c r="D84" s="8" t="n">
        <v>2130502</v>
      </c>
      <c r="E84" s="8" t="inlineStr">
        <is>
          <t>AZTREONAM FA 1GR</t>
        </is>
      </c>
    </row>
    <row r="85">
      <c r="D85" s="8" t="n">
        <v>2109300</v>
      </c>
      <c r="E85" s="8" t="inlineStr">
        <is>
          <t>AZUFRADA 6%  CJ X 50 GR</t>
        </is>
      </c>
    </row>
    <row r="86">
      <c r="D86" s="8" t="n">
        <v>2160370</v>
      </c>
      <c r="E86" s="8" t="inlineStr">
        <is>
          <t>AZUL DE ISOSULFAN 1% AM 5 ML</t>
        </is>
      </c>
    </row>
    <row r="87">
      <c r="D87" s="8" t="n">
        <v>2140590</v>
      </c>
      <c r="E87" s="8" t="inlineStr">
        <is>
          <t>BACLOFEN CM 10 MG</t>
        </is>
      </c>
    </row>
    <row r="88">
      <c r="D88" s="8" t="n">
        <v>2010450</v>
      </c>
      <c r="E88" s="8" t="inlineStr">
        <is>
          <t>BASILIXIMAB FA 20 MG (SIMULEC</t>
        </is>
      </c>
    </row>
    <row r="89">
      <c r="D89" s="8" t="n">
        <v>2622370</v>
      </c>
      <c r="E89" s="8" t="inlineStr">
        <is>
          <t>BCG INMUNOTERAP. AM 30 MG</t>
        </is>
      </c>
    </row>
    <row r="90">
      <c r="D90" s="8" t="n">
        <v>2101510</v>
      </c>
      <c r="E90" s="8" t="inlineStr">
        <is>
          <t>BENGUE 10% CJ X 50 GR POMADA</t>
        </is>
      </c>
    </row>
    <row r="91">
      <c r="D91" s="8" t="n">
        <v>2130700</v>
      </c>
      <c r="E91" s="8" t="inlineStr">
        <is>
          <t>BETAMETASON/ACET/DISOD AM6MG/</t>
        </is>
      </c>
    </row>
    <row r="92">
      <c r="D92" s="8" t="n">
        <v>2130710</v>
      </c>
      <c r="E92" s="8" t="inlineStr">
        <is>
          <t>BETAMETASONA FOSFAT AM 4 MG/M</t>
        </is>
      </c>
    </row>
    <row r="93">
      <c r="D93" s="8" t="n">
        <v>2130600</v>
      </c>
      <c r="E93" s="8" t="inlineStr">
        <is>
          <t>BETAMETASONA TU CREM/DER 0,05</t>
        </is>
      </c>
    </row>
    <row r="94">
      <c r="D94" s="8" t="n">
        <v>2130650</v>
      </c>
      <c r="E94" s="8" t="inlineStr">
        <is>
          <t>BETAMETASONA TU UNG/DERM 0,05</t>
        </is>
      </c>
    </row>
    <row r="95">
      <c r="D95" s="8" t="n">
        <v>2190715</v>
      </c>
      <c r="E95" s="8" t="inlineStr">
        <is>
          <t>BICALUTAMIDA CM 150 MG BIOEQU</t>
        </is>
      </c>
    </row>
    <row r="96">
      <c r="D96" s="8" t="n">
        <v>2190714</v>
      </c>
      <c r="E96" s="8" t="inlineStr">
        <is>
          <t>BICALUTAMIDA CM 50 MG</t>
        </is>
      </c>
    </row>
    <row r="97">
      <c r="D97" s="8" t="n">
        <v>2176662</v>
      </c>
      <c r="E97" s="8" t="inlineStr">
        <is>
          <t>BIFIDOBACTERIUM ANIMALIS SUBSP</t>
        </is>
      </c>
    </row>
    <row r="98">
      <c r="D98" s="8" t="n">
        <v>2170815</v>
      </c>
      <c r="E98" s="8" t="inlineStr">
        <is>
          <t>BIMATOPROST/BRIMONIDINA/TIMOL</t>
        </is>
      </c>
    </row>
    <row r="99">
      <c r="D99" s="8" t="n">
        <v>2140595</v>
      </c>
      <c r="E99" s="8" t="inlineStr">
        <is>
          <t>BISOPROLOL CM 2,5 MG</t>
        </is>
      </c>
    </row>
    <row r="100">
      <c r="D100" s="8" t="n">
        <v>2190720</v>
      </c>
      <c r="E100" s="8" t="inlineStr">
        <is>
          <t>BLEOMICINA FA 15 UI</t>
        </is>
      </c>
    </row>
    <row r="101">
      <c r="D101" s="8" t="n">
        <v>2090196</v>
      </c>
      <c r="E101" s="8" t="inlineStr">
        <is>
          <t>BOLSA N.P PERIF C/AA-LIP 1904</t>
        </is>
      </c>
    </row>
    <row r="102">
      <c r="D102" s="8" t="n">
        <v>2090195</v>
      </c>
      <c r="E102" s="8" t="inlineStr">
        <is>
          <t>BOLSA N.P. PERI C/A.A. Y GLUC</t>
        </is>
      </c>
    </row>
    <row r="103">
      <c r="D103" s="8" t="n">
        <v>2090200</v>
      </c>
      <c r="E103" s="8" t="inlineStr">
        <is>
          <t>BOLSA NP C/ LIPIDOS 2000 ML</t>
        </is>
      </c>
    </row>
    <row r="104">
      <c r="D104" s="8" t="n">
        <v>2090197</v>
      </c>
      <c r="E104" s="8" t="inlineStr">
        <is>
          <t>BOLSA NP CENTRAL C/ LIP. 500ML</t>
        </is>
      </c>
    </row>
    <row r="105">
      <c r="D105" s="8" t="n">
        <v>2090199</v>
      </c>
      <c r="E105" s="8" t="inlineStr">
        <is>
          <t>BOLSA NP CENTRAL C/LIP 1000 M</t>
        </is>
      </c>
    </row>
    <row r="106">
      <c r="D106" s="8" t="n">
        <v>2090198</v>
      </c>
      <c r="E106" s="8" t="inlineStr">
        <is>
          <t>BOLSA NP CENTRAL C/LIP 1500 M</t>
        </is>
      </c>
    </row>
    <row r="107">
      <c r="D107" s="8" t="n">
        <v>2190730</v>
      </c>
      <c r="E107" s="8" t="inlineStr">
        <is>
          <t>BORTEZOMIB 3,5 MG FA</t>
        </is>
      </c>
    </row>
    <row r="108">
      <c r="D108" s="8" t="n">
        <v>2190735</v>
      </c>
      <c r="E108" s="8" t="inlineStr">
        <is>
          <t>BOSUTINIB 500 MG CM</t>
        </is>
      </c>
    </row>
    <row r="109">
      <c r="D109" s="8" t="n">
        <v>2171105</v>
      </c>
      <c r="E109" s="8" t="inlineStr">
        <is>
          <t xml:space="preserve">BROMHEXINA CLORH JBE 4MG/5ML </t>
        </is>
      </c>
    </row>
    <row r="110">
      <c r="D110" s="8" t="n">
        <v>2140610</v>
      </c>
      <c r="E110" s="8" t="inlineStr">
        <is>
          <t>BUDESONIDA  CM 3 MG</t>
        </is>
      </c>
    </row>
    <row r="111">
      <c r="D111" s="8" t="n">
        <v>2170830</v>
      </c>
      <c r="E111" s="8" t="inlineStr">
        <is>
          <t>BUDESONIDA INH 200 MCG (AEROV</t>
        </is>
      </c>
    </row>
    <row r="112">
      <c r="D112" s="8" t="n">
        <v>2160510</v>
      </c>
      <c r="E112" s="8" t="inlineStr">
        <is>
          <t>BUPIVACAINA 0,5 % FA 10ML</t>
        </is>
      </c>
    </row>
    <row r="113">
      <c r="D113" s="8" t="n">
        <v>2160508</v>
      </c>
      <c r="E113" s="8" t="inlineStr">
        <is>
          <t>BUPIVACAINA 0,75% AM 2 ML</t>
        </is>
      </c>
    </row>
    <row r="114">
      <c r="D114" s="8" t="n">
        <v>2121000</v>
      </c>
      <c r="E114" s="8" t="inlineStr">
        <is>
          <t>BUPRENORFINA 35 MCG PARCHE TR</t>
        </is>
      </c>
    </row>
    <row r="115">
      <c r="D115" s="8" t="n">
        <v>2140640</v>
      </c>
      <c r="E115" s="8" t="inlineStr">
        <is>
          <t>BUPROPION CM 150 MG ACC PROLO</t>
        </is>
      </c>
    </row>
    <row r="116">
      <c r="D116" s="8" t="n">
        <v>2140700</v>
      </c>
      <c r="E116" s="8" t="inlineStr">
        <is>
          <t>CABERGOLINA CM 0,5MG</t>
        </is>
      </c>
    </row>
    <row r="117">
      <c r="D117" s="8" t="n">
        <v>2102110</v>
      </c>
      <c r="E117" s="8" t="inlineStr">
        <is>
          <t>CAFEINA CITRATO 20 MG/ML SOLUC</t>
        </is>
      </c>
    </row>
    <row r="118">
      <c r="D118" s="8" t="n">
        <v>2141145</v>
      </c>
      <c r="E118" s="8" t="inlineStr">
        <is>
          <t>CALCIO CARBONATO CAP (450 MG C</t>
        </is>
      </c>
    </row>
    <row r="119">
      <c r="D119" s="8" t="n">
        <v>2141140</v>
      </c>
      <c r="E119" s="8" t="inlineStr">
        <is>
          <t>CALCIO CARBONATO CM 500 MG (C</t>
        </is>
      </c>
    </row>
    <row r="120">
      <c r="D120" s="8" t="n">
        <v>2141147</v>
      </c>
      <c r="E120" s="8" t="inlineStr">
        <is>
          <t>CALCIO CON VIT D (400 UI + 50</t>
        </is>
      </c>
    </row>
    <row r="121">
      <c r="D121" s="8" t="n">
        <v>2171205</v>
      </c>
      <c r="E121" s="8" t="inlineStr">
        <is>
          <t>CALCIO GLUCON GRAN 10% FCX100</t>
        </is>
      </c>
    </row>
    <row r="122">
      <c r="D122" s="8" t="n">
        <v>2160740</v>
      </c>
      <c r="E122" s="8" t="inlineStr">
        <is>
          <t>CALCIO GLUCONAT 10% AM 10ML</t>
        </is>
      </c>
    </row>
    <row r="123">
      <c r="D123" s="8" t="n">
        <v>2141150</v>
      </c>
      <c r="E123" s="8" t="inlineStr">
        <is>
          <t>CALCITRIOL GG 0,25 UG</t>
        </is>
      </c>
    </row>
    <row r="124">
      <c r="D124" s="8" t="n">
        <v>2141155</v>
      </c>
      <c r="E124" s="8" t="inlineStr">
        <is>
          <t>CALCITRIOL GG 0,50 UG</t>
        </is>
      </c>
    </row>
    <row r="125">
      <c r="D125" s="8" t="n">
        <v>2102700</v>
      </c>
      <c r="E125" s="8" t="inlineStr">
        <is>
          <t>CALMATOS 1% SOLUCI?N</t>
        </is>
      </c>
    </row>
    <row r="126">
      <c r="D126" s="8" t="n">
        <v>2191100</v>
      </c>
      <c r="E126" s="8" t="inlineStr">
        <is>
          <t>CAPECITABINA  CP 500MG BIOEQU</t>
        </is>
      </c>
    </row>
    <row r="127">
      <c r="D127" s="8" t="n">
        <v>2191101</v>
      </c>
      <c r="E127" s="8" t="inlineStr">
        <is>
          <t>CAPECITABINA CP 150MG</t>
        </is>
      </c>
    </row>
    <row r="128">
      <c r="D128" s="8" t="n">
        <v>2171210</v>
      </c>
      <c r="E128" s="8" t="inlineStr">
        <is>
          <t>CAPSAICINA 179 MG PARCHE CUTAN</t>
        </is>
      </c>
    </row>
    <row r="129">
      <c r="D129" s="8" t="n">
        <v>2109802</v>
      </c>
      <c r="E129" s="8" t="inlineStr">
        <is>
          <t>CAPTOPRIL 1 MG/ML SUSPENSION</t>
        </is>
      </c>
    </row>
    <row r="130">
      <c r="D130" s="8" t="n">
        <v>2141100</v>
      </c>
      <c r="E130" s="8" t="inlineStr">
        <is>
          <t>CAPTOPRIL CM 25 MG (CAPOTEN)</t>
        </is>
      </c>
    </row>
    <row r="131">
      <c r="D131" s="8" t="n">
        <v>2160750</v>
      </c>
      <c r="E131" s="8" t="inlineStr">
        <is>
          <t>CARBACHOL SOL. 0.01% AM 1.5 M</t>
        </is>
      </c>
    </row>
    <row r="132">
      <c r="D132" s="8" t="n">
        <v>2141110</v>
      </c>
      <c r="E132" s="8" t="inlineStr">
        <is>
          <t>CARBAMAZEPINA CM 200 MG (CJX1</t>
        </is>
      </c>
    </row>
    <row r="133">
      <c r="D133" s="8" t="n">
        <v>2141111</v>
      </c>
      <c r="E133" s="8" t="inlineStr">
        <is>
          <t>CARBAMAZEPINA CM 400 MG LIB.SO</t>
        </is>
      </c>
    </row>
    <row r="134">
      <c r="D134" s="8" t="n">
        <v>2160745</v>
      </c>
      <c r="E134" s="8" t="inlineStr">
        <is>
          <t>CARBETOCINA AM 100 MCG/ML</t>
        </is>
      </c>
    </row>
    <row r="135">
      <c r="D135" s="8" t="n">
        <v>2151910</v>
      </c>
      <c r="E135" s="8" t="inlineStr">
        <is>
          <t>CARBON ACTIVADO FARMCOPEA</t>
        </is>
      </c>
    </row>
    <row r="136">
      <c r="D136" s="8" t="n">
        <v>2190747</v>
      </c>
      <c r="E136" s="8" t="inlineStr">
        <is>
          <t>CARBOPLATINO FA 450 MG SOL. I</t>
        </is>
      </c>
    </row>
    <row r="137">
      <c r="D137" s="8" t="n">
        <v>2190748</v>
      </c>
      <c r="E137" s="8" t="inlineStr">
        <is>
          <t>CARMUSTINA FA 100 MG</t>
        </is>
      </c>
    </row>
    <row r="138">
      <c r="D138" s="8" t="n">
        <v>2141180</v>
      </c>
      <c r="E138" s="8" t="inlineStr">
        <is>
          <t>CARVEDILOL CM 12,5 MG</t>
        </is>
      </c>
    </row>
    <row r="139">
      <c r="D139" s="8" t="n">
        <v>2131180</v>
      </c>
      <c r="E139" s="8" t="inlineStr">
        <is>
          <t>CEFADROXILO CM 500 MG</t>
        </is>
      </c>
    </row>
    <row r="140">
      <c r="D140" s="8" t="n">
        <v>2131170</v>
      </c>
      <c r="E140" s="8" t="inlineStr">
        <is>
          <t>CEFADROXILO SUSP 250MG/5ML. F</t>
        </is>
      </c>
    </row>
    <row r="141">
      <c r="D141" s="8" t="n">
        <v>2131181</v>
      </c>
      <c r="E141" s="8" t="inlineStr">
        <is>
          <t>CEFAZOLINA FA 1G</t>
        </is>
      </c>
    </row>
    <row r="142">
      <c r="D142" s="8" t="n">
        <v>2131185</v>
      </c>
      <c r="E142" s="8" t="inlineStr">
        <is>
          <t>CEFIXIMA CP 400 MG CEFAL 3GE</t>
        </is>
      </c>
    </row>
    <row r="143">
      <c r="D143" s="8" t="n">
        <v>2131198</v>
      </c>
      <c r="E143" s="8" t="inlineStr">
        <is>
          <t>CEFOTAXIMA FA 1GR CEFAL 3? GE</t>
        </is>
      </c>
    </row>
    <row r="144">
      <c r="D144" s="8" t="n">
        <v>2131196</v>
      </c>
      <c r="E144" s="8" t="inlineStr">
        <is>
          <t>CEFRADINA CP 500MG CEFAL1? GE</t>
        </is>
      </c>
    </row>
    <row r="145">
      <c r="D145" s="8" t="n">
        <v>2131194</v>
      </c>
      <c r="E145" s="8" t="inlineStr">
        <is>
          <t>CEFTAZIDIMA FA 1GR CEFAL 3  G</t>
        </is>
      </c>
    </row>
    <row r="146">
      <c r="D146" s="8" t="n">
        <v>2131201</v>
      </c>
      <c r="E146" s="8" t="inlineStr">
        <is>
          <t>CEFTAZIDIMA/AVIBACTAM FA 2,5 G</t>
        </is>
      </c>
    </row>
    <row r="147">
      <c r="D147" s="8" t="n">
        <v>2131202</v>
      </c>
      <c r="E147" s="8" t="inlineStr">
        <is>
          <t>CEFTOLOZANO/TAZOBACTAM 1.5 GR</t>
        </is>
      </c>
    </row>
    <row r="148">
      <c r="D148" s="8" t="n">
        <v>2131199</v>
      </c>
      <c r="E148" s="8" t="inlineStr">
        <is>
          <t>CEFTRIAXONA GENERICA FA 1GR</t>
        </is>
      </c>
    </row>
    <row r="149">
      <c r="D149" s="8" t="n">
        <v>2131191</v>
      </c>
      <c r="E149" s="8" t="inlineStr">
        <is>
          <t>CEFUROXIMO CP 500MG CEFA2¿ GE</t>
        </is>
      </c>
    </row>
    <row r="150">
      <c r="D150" s="8" t="n">
        <v>2131190</v>
      </c>
      <c r="E150" s="8" t="inlineStr">
        <is>
          <t>CEFUROXIMO FA 750MG CEFA2¿ GE</t>
        </is>
      </c>
    </row>
    <row r="151">
      <c r="D151" s="8" t="n">
        <v>2141185</v>
      </c>
      <c r="E151" s="8" t="inlineStr">
        <is>
          <t>CELECOXIB CP 200 MG</t>
        </is>
      </c>
    </row>
    <row r="152">
      <c r="D152" s="8" t="n">
        <v>2145190</v>
      </c>
      <c r="E152" s="8" t="inlineStr">
        <is>
          <t>CELL CEPT 250 MG MICOFENOLATO</t>
        </is>
      </c>
    </row>
    <row r="153">
      <c r="D153" s="8" t="n">
        <v>2145191</v>
      </c>
      <c r="E153" s="8" t="inlineStr">
        <is>
          <t>CELL CEPT 500 MG MICOFENOLATO</t>
        </is>
      </c>
    </row>
    <row r="154">
      <c r="D154" s="8" t="n">
        <v>2160880</v>
      </c>
      <c r="E154" s="8" t="inlineStr">
        <is>
          <t>CIANOCOBALAMINA AM 0.1 MG/1ML</t>
        </is>
      </c>
    </row>
    <row r="155">
      <c r="D155" s="8" t="n">
        <v>2191260</v>
      </c>
      <c r="E155" s="8" t="inlineStr">
        <is>
          <t>CICLOFOSFAMIDA CM 50 MG BIOEQ</t>
        </is>
      </c>
    </row>
    <row r="156">
      <c r="D156" s="8" t="n">
        <v>2190905</v>
      </c>
      <c r="E156" s="8" t="inlineStr">
        <is>
          <t>CICLOFOSFAMIDA FA 1 GR</t>
        </is>
      </c>
    </row>
    <row r="157">
      <c r="D157" s="8" t="n">
        <v>2171300</v>
      </c>
      <c r="E157" s="8" t="inlineStr">
        <is>
          <t>CICLOPENTOLATO 1% COLIR (CYCL</t>
        </is>
      </c>
    </row>
    <row r="158">
      <c r="D158" s="8" t="n">
        <v>2131220</v>
      </c>
      <c r="E158" s="8" t="inlineStr">
        <is>
          <t xml:space="preserve">CICLOPIROXOLAMINA LACA 8% FC </t>
        </is>
      </c>
    </row>
    <row r="159">
      <c r="D159" s="8" t="n">
        <v>2141189</v>
      </c>
      <c r="E159" s="8" t="inlineStr">
        <is>
          <t>CICLOSPORINA CP 10 MG (NEORAL</t>
        </is>
      </c>
    </row>
    <row r="160">
      <c r="D160" s="8" t="n">
        <v>2141195</v>
      </c>
      <c r="E160" s="8" t="inlineStr">
        <is>
          <t>CICLOSPORINA CP 100 MG (GENER</t>
        </is>
      </c>
    </row>
    <row r="161">
      <c r="D161" s="8" t="n">
        <v>2141190</v>
      </c>
      <c r="E161" s="8" t="inlineStr">
        <is>
          <t>CICLOSPORINA CP 100 MG (NEORA</t>
        </is>
      </c>
    </row>
    <row r="162">
      <c r="D162" s="8" t="n">
        <v>2141197</v>
      </c>
      <c r="E162" s="8" t="inlineStr">
        <is>
          <t>CICLOSPORINA CP 25 MG (GENERI</t>
        </is>
      </c>
    </row>
    <row r="163">
      <c r="D163" s="8" t="n">
        <v>2141192</v>
      </c>
      <c r="E163" s="8" t="inlineStr">
        <is>
          <t>CICLOSPORINA CP 25 MG (NEORAL</t>
        </is>
      </c>
    </row>
    <row r="164">
      <c r="D164" s="8" t="n">
        <v>2141196</v>
      </c>
      <c r="E164" s="8" t="inlineStr">
        <is>
          <t>CICLOSPORINA CP 50 MG (GENERI</t>
        </is>
      </c>
    </row>
    <row r="165">
      <c r="D165" s="8" t="n">
        <v>2141191</v>
      </c>
      <c r="E165" s="8" t="inlineStr">
        <is>
          <t>CICLOSPORINA CP 50 MG (NEORAL</t>
        </is>
      </c>
    </row>
    <row r="166">
      <c r="D166" s="8" t="n">
        <v>2160910</v>
      </c>
      <c r="E166" s="8" t="inlineStr">
        <is>
          <t>CICLOSPORINA SOL ORAL100MG/ML</t>
        </is>
      </c>
    </row>
    <row r="167">
      <c r="D167" s="8" t="n">
        <v>2141203</v>
      </c>
      <c r="E167" s="8" t="inlineStr">
        <is>
          <t>CILOSTAZOL 100 MG COMPRIMIDO</t>
        </is>
      </c>
    </row>
    <row r="168">
      <c r="D168" s="8" t="n">
        <v>2141198</v>
      </c>
      <c r="E168" s="8" t="inlineStr">
        <is>
          <t>CINACALCET CM 30 MG</t>
        </is>
      </c>
    </row>
    <row r="169">
      <c r="D169" s="8" t="n">
        <v>2131235</v>
      </c>
      <c r="E169" s="8" t="inlineStr">
        <is>
          <t xml:space="preserve">CIPROFLOXACINA 0,3% SOL.OFT. </t>
        </is>
      </c>
    </row>
    <row r="170">
      <c r="D170" s="8" t="n">
        <v>2131231</v>
      </c>
      <c r="E170" s="8" t="inlineStr">
        <is>
          <t>CIPROFLOXACINO CM 500 MG (CJ</t>
        </is>
      </c>
    </row>
    <row r="171">
      <c r="D171" s="8" t="n">
        <v>2131236</v>
      </c>
      <c r="E171" s="8" t="inlineStr">
        <is>
          <t>CIPROFLOXACINO FA 200 MG (CJ</t>
        </is>
      </c>
    </row>
    <row r="172">
      <c r="D172" s="8" t="n">
        <v>2190754</v>
      </c>
      <c r="E172" s="8" t="inlineStr">
        <is>
          <t>CISPLATINO FA 50 MG SOL. INYE</t>
        </is>
      </c>
    </row>
    <row r="173">
      <c r="D173" s="8" t="n">
        <v>2141250</v>
      </c>
      <c r="E173" s="8" t="inlineStr">
        <is>
          <t>CITALOPRAM CM 20 MG</t>
        </is>
      </c>
    </row>
    <row r="174">
      <c r="D174" s="8" t="n">
        <v>2190920</v>
      </c>
      <c r="E174" s="8" t="inlineStr">
        <is>
          <t>CITARABINA FA 1 GR SOL. INYEC</t>
        </is>
      </c>
    </row>
    <row r="175">
      <c r="D175" s="8" t="n">
        <v>2190916</v>
      </c>
      <c r="E175" s="8" t="inlineStr">
        <is>
          <t>CITARABINA FA 100 MG SOL. IT</t>
        </is>
      </c>
    </row>
    <row r="176">
      <c r="D176" s="8" t="n">
        <v>2102400</v>
      </c>
      <c r="E176" s="8" t="inlineStr">
        <is>
          <t>CITRATO POTASIO 2.5 GRAMOS</t>
        </is>
      </c>
    </row>
    <row r="177">
      <c r="D177" s="8" t="n">
        <v>2190908</v>
      </c>
      <c r="E177" s="8" t="inlineStr">
        <is>
          <t>CLADRIBINA 10 MG FA(LEUSTAT)</t>
        </is>
      </c>
    </row>
    <row r="178">
      <c r="D178" s="8" t="n">
        <v>2198805</v>
      </c>
      <c r="E178" s="8" t="inlineStr">
        <is>
          <t>CLADRIBINA 10 MG SC</t>
        </is>
      </c>
    </row>
    <row r="179">
      <c r="D179" s="8" t="n">
        <v>2131239</v>
      </c>
      <c r="E179" s="8" t="inlineStr">
        <is>
          <t>CLARITROMICINA CM 500 MG</t>
        </is>
      </c>
    </row>
    <row r="180">
      <c r="D180" s="8" t="n">
        <v>2131241</v>
      </c>
      <c r="E180" s="8" t="inlineStr">
        <is>
          <t>CLARITROMICINA FA 500 MG</t>
        </is>
      </c>
    </row>
    <row r="181">
      <c r="D181" s="8" t="n">
        <v>2131238</v>
      </c>
      <c r="E181" s="8" t="inlineStr">
        <is>
          <t>CLARITROMICINA JBE 250 MG/5ML</t>
        </is>
      </c>
    </row>
    <row r="182">
      <c r="D182" s="8" t="n">
        <v>2131246</v>
      </c>
      <c r="E182" s="8" t="inlineStr">
        <is>
          <t>CLINDAMICINA AM 600 MG/4ML</t>
        </is>
      </c>
    </row>
    <row r="183">
      <c r="D183" s="8" t="n">
        <v>2131240</v>
      </c>
      <c r="E183" s="8" t="inlineStr">
        <is>
          <t>CLINDAMICINA CP 300 MG (CJX12</t>
        </is>
      </c>
    </row>
    <row r="184">
      <c r="D184" s="8" t="n">
        <v>2121320</v>
      </c>
      <c r="E184" s="8" t="inlineStr">
        <is>
          <t>CLOBAZAM CM 10 MG</t>
        </is>
      </c>
    </row>
    <row r="185">
      <c r="D185" s="8" t="n">
        <v>2131247</v>
      </c>
      <c r="E185" s="8" t="inlineStr">
        <is>
          <t>CLOBETASOL PROPIONATO  CREMA ,</t>
        </is>
      </c>
    </row>
    <row r="186">
      <c r="D186" s="8" t="n">
        <v>2121355</v>
      </c>
      <c r="E186" s="8" t="inlineStr">
        <is>
          <t>CLONAZEPAM CM 0,5 MG</t>
        </is>
      </c>
    </row>
    <row r="187">
      <c r="D187" s="8" t="n">
        <v>2121360</v>
      </c>
      <c r="E187" s="8" t="inlineStr">
        <is>
          <t>CLONAZEPAM CM 2 MG</t>
        </is>
      </c>
    </row>
    <row r="188">
      <c r="D188" s="8" t="n">
        <v>2010740</v>
      </c>
      <c r="E188" s="8" t="inlineStr">
        <is>
          <t>CLONIDINA CM 0,1 MG</t>
        </is>
      </c>
    </row>
    <row r="189">
      <c r="D189" s="8" t="n">
        <v>2102420</v>
      </c>
      <c r="E189" s="8" t="inlineStr">
        <is>
          <t>CLONIDINA JBE 20MCG/ML</t>
        </is>
      </c>
    </row>
    <row r="190">
      <c r="D190" s="8" t="n">
        <v>2160919</v>
      </c>
      <c r="E190" s="8" t="inlineStr">
        <is>
          <t>CLONIXINATO  LISIN AM 100MG/2</t>
        </is>
      </c>
    </row>
    <row r="191">
      <c r="D191" s="8" t="n">
        <v>2141300</v>
      </c>
      <c r="E191" s="8" t="inlineStr">
        <is>
          <t>CLONIXINATO LISINA CM125 MG</t>
        </is>
      </c>
    </row>
    <row r="192">
      <c r="D192" s="8" t="n">
        <v>2010745</v>
      </c>
      <c r="E192" s="8" t="inlineStr">
        <is>
          <t>CLOPIDOGREL CM 300 MG</t>
        </is>
      </c>
    </row>
    <row r="193">
      <c r="D193" s="8" t="n">
        <v>2010750</v>
      </c>
      <c r="E193" s="8" t="inlineStr">
        <is>
          <t>CLOPIDOGREL CM 75 MG</t>
        </is>
      </c>
    </row>
    <row r="194">
      <c r="D194" s="8" t="n">
        <v>2191320</v>
      </c>
      <c r="E194" s="8" t="inlineStr">
        <is>
          <t>CLORAMBUCIL CM 2 MG  BIOEQUIV</t>
        </is>
      </c>
    </row>
    <row r="195">
      <c r="D195" s="8" t="n">
        <v>2131276</v>
      </c>
      <c r="E195" s="8" t="inlineStr">
        <is>
          <t xml:space="preserve">CLORANFENICOL 0,5%FC SOL OFT </t>
        </is>
      </c>
    </row>
    <row r="196">
      <c r="D196" s="8" t="n">
        <v>2131281</v>
      </c>
      <c r="E196" s="8" t="inlineStr">
        <is>
          <t>CLORANFENICOL 1%TU UNG OFT (P</t>
        </is>
      </c>
    </row>
    <row r="197">
      <c r="D197" s="8" t="n">
        <v>2160920</v>
      </c>
      <c r="E197" s="8" t="inlineStr">
        <is>
          <t>CLORFENAMINA MAL AM 10MG/1ML</t>
        </is>
      </c>
    </row>
    <row r="198">
      <c r="D198" s="8" t="n">
        <v>2141340</v>
      </c>
      <c r="E198" s="8" t="inlineStr">
        <is>
          <t>CLORFENAMINA MALEATO CM 4 MG</t>
        </is>
      </c>
    </row>
    <row r="199">
      <c r="D199" s="8" t="n">
        <v>2171401</v>
      </c>
      <c r="E199" s="8" t="inlineStr">
        <is>
          <t>CLORHEXIDINA GLUC 0,1% ML (CO</t>
        </is>
      </c>
    </row>
    <row r="200">
      <c r="D200" s="8" t="n">
        <v>2171405</v>
      </c>
      <c r="E200" s="8" t="inlineStr">
        <is>
          <t>CLORHEXIDINA GLUCONATO 0,1% FC</t>
        </is>
      </c>
    </row>
    <row r="201">
      <c r="D201" s="8" t="n">
        <v>2160925</v>
      </c>
      <c r="E201" s="8" t="inlineStr">
        <is>
          <t>CLORPROMAZINA CLOR AM 25MG/2M</t>
        </is>
      </c>
    </row>
    <row r="202">
      <c r="D202" s="8" t="n">
        <v>2141350</v>
      </c>
      <c r="E202" s="8" t="inlineStr">
        <is>
          <t>CLORPROMAZINA CM 100 MG  (CJ1</t>
        </is>
      </c>
    </row>
    <row r="203">
      <c r="D203" s="8" t="n">
        <v>2160730</v>
      </c>
      <c r="E203" s="8" t="inlineStr">
        <is>
          <t>CLORURO CALCIO 10% *10ML</t>
        </is>
      </c>
    </row>
    <row r="204">
      <c r="D204" s="8" t="n">
        <v>2131430</v>
      </c>
      <c r="E204" s="8" t="inlineStr">
        <is>
          <t>CLOTRIMAZOL CREM 1% TU  15-30</t>
        </is>
      </c>
    </row>
    <row r="205">
      <c r="D205" s="8" t="n">
        <v>2131312</v>
      </c>
      <c r="E205" s="8" t="inlineStr">
        <is>
          <t>CLOXACILINA SOD CP 500 MG (CJ</t>
        </is>
      </c>
    </row>
    <row r="206">
      <c r="D206" s="8" t="n">
        <v>2131320</v>
      </c>
      <c r="E206" s="8" t="inlineStr">
        <is>
          <t>CLOXACILINA SOD FA 500MG (CJ1</t>
        </is>
      </c>
    </row>
    <row r="207">
      <c r="D207" s="8" t="n">
        <v>2141368</v>
      </c>
      <c r="E207" s="8" t="inlineStr">
        <is>
          <t>CLOZAPINA CM 100 MG CJX30</t>
        </is>
      </c>
    </row>
    <row r="208">
      <c r="D208" s="8" t="n">
        <v>2102720</v>
      </c>
      <c r="E208" s="8" t="inlineStr">
        <is>
          <t>CODEINA 6% SOLUCION</t>
        </is>
      </c>
    </row>
    <row r="209">
      <c r="D209" s="8" t="n">
        <v>2141370</v>
      </c>
      <c r="E209" s="8" t="inlineStr">
        <is>
          <t>COLCHICINA CM 0,5 MG (CJ X 50</t>
        </is>
      </c>
    </row>
    <row r="210">
      <c r="D210" s="8" t="n">
        <v>2170840</v>
      </c>
      <c r="E210" s="8" t="inlineStr">
        <is>
          <t>COLECALCIFEROL SOL. ORAL 50000</t>
        </is>
      </c>
    </row>
    <row r="211">
      <c r="D211" s="8" t="n">
        <v>2131439</v>
      </c>
      <c r="E211" s="8" t="inlineStr">
        <is>
          <t xml:space="preserve">COLISTIN BASE FA 150 MG (4,5 </t>
        </is>
      </c>
    </row>
    <row r="212">
      <c r="D212" s="8" t="n">
        <v>2160930</v>
      </c>
      <c r="E212" s="8" t="inlineStr">
        <is>
          <t>COMPLEJO PROTROMBINICO FA 500</t>
        </is>
      </c>
    </row>
    <row r="213">
      <c r="D213" s="8" t="n">
        <v>2162711</v>
      </c>
      <c r="E213" s="8" t="inlineStr">
        <is>
          <t>CONTRASTE 270 MG IODO/ML FC 10</t>
        </is>
      </c>
    </row>
    <row r="214">
      <c r="D214" s="8" t="n">
        <v>2162810</v>
      </c>
      <c r="E214" s="8" t="inlineStr">
        <is>
          <t>CONTRASTE 300MG IODO/ML FC 100</t>
        </is>
      </c>
    </row>
    <row r="215">
      <c r="D215" s="8" t="n">
        <v>2162807</v>
      </c>
      <c r="E215" s="8" t="inlineStr">
        <is>
          <t>CONTRASTE 350 MG IODO/ML FC 10</t>
        </is>
      </c>
    </row>
    <row r="216">
      <c r="D216" s="8" t="n">
        <v>2162712</v>
      </c>
      <c r="E216" s="8" t="inlineStr">
        <is>
          <t>CONTRASTE 350 MG IODO/ML FC 50</t>
        </is>
      </c>
    </row>
    <row r="217">
      <c r="D217" s="8" t="n">
        <v>2102910</v>
      </c>
      <c r="E217" s="8" t="inlineStr">
        <is>
          <t>CORTICOIDE 2% EN VASELINA</t>
        </is>
      </c>
    </row>
    <row r="218">
      <c r="D218" s="8" t="n">
        <v>2102916</v>
      </c>
      <c r="E218" s="8" t="inlineStr">
        <is>
          <t>CORTISOL 1 MG CAPSULAS</t>
        </is>
      </c>
    </row>
    <row r="219">
      <c r="D219" s="8" t="n">
        <v>2102920</v>
      </c>
      <c r="E219" s="8" t="inlineStr">
        <is>
          <t>CORTISOL 2 MG CAPSULAS</t>
        </is>
      </c>
    </row>
    <row r="220">
      <c r="D220" s="8" t="n">
        <v>2102930</v>
      </c>
      <c r="E220" s="8" t="inlineStr">
        <is>
          <t>CORTISOL 3 MG CAPSULAS</t>
        </is>
      </c>
    </row>
    <row r="221">
      <c r="D221" s="8" t="n">
        <v>2141392</v>
      </c>
      <c r="E221" s="8" t="inlineStr">
        <is>
          <t>COTRIMOXAZOL CM(80/400)ADULTO</t>
        </is>
      </c>
    </row>
    <row r="222">
      <c r="D222" s="8" t="n">
        <v>2141395</v>
      </c>
      <c r="E222" s="8" t="inlineStr">
        <is>
          <t>COTRIMOXAZOL FORTE CM160/800</t>
        </is>
      </c>
    </row>
    <row r="223">
      <c r="D223" s="8" t="n">
        <v>2131400</v>
      </c>
      <c r="E223" s="8" t="inlineStr">
        <is>
          <t>COTRIMOXAZOL IV AM(SULFA 400/</t>
        </is>
      </c>
    </row>
    <row r="224">
      <c r="D224" s="8" t="n">
        <v>2171502</v>
      </c>
      <c r="E224" s="8" t="inlineStr">
        <is>
          <t>COTRIMOXAZOL JBE 40/200 X5 ML</t>
        </is>
      </c>
    </row>
    <row r="225">
      <c r="D225" s="8" t="n">
        <v>2107850</v>
      </c>
      <c r="E225" s="8" t="inlineStr">
        <is>
          <t>CREMA BASE</t>
        </is>
      </c>
    </row>
    <row r="226">
      <c r="D226" s="8" t="n">
        <v>2628430</v>
      </c>
      <c r="E226" s="8" t="inlineStr">
        <is>
          <t>CRISTALINA INSULINA  FA 100 U</t>
        </is>
      </c>
    </row>
    <row r="227">
      <c r="D227" s="8" t="n">
        <v>2140156</v>
      </c>
      <c r="E227" s="8" t="inlineStr">
        <is>
          <t>DABIGATRAN CAPSULAS 110MG</t>
        </is>
      </c>
    </row>
    <row r="228">
      <c r="D228" s="8" t="n">
        <v>2140155</v>
      </c>
      <c r="E228" s="8" t="inlineStr">
        <is>
          <t>DABIGATRAN CAPSULAS 150MG</t>
        </is>
      </c>
    </row>
    <row r="229">
      <c r="D229" s="8" t="n">
        <v>2195847</v>
      </c>
      <c r="E229" s="8" t="inlineStr">
        <is>
          <t>DACARBAZINA FA 200 MG</t>
        </is>
      </c>
    </row>
    <row r="230">
      <c r="D230" s="8" t="n">
        <v>2191500</v>
      </c>
      <c r="E230" s="8" t="inlineStr">
        <is>
          <t>DACTINOMICINA FA 0,5 MG</t>
        </is>
      </c>
    </row>
    <row r="231">
      <c r="D231" s="8" t="n">
        <v>2083500</v>
      </c>
      <c r="E231" s="8" t="inlineStr">
        <is>
          <t>DALTEPARINA (FRAGMIN) JER 5000</t>
        </is>
      </c>
    </row>
    <row r="232">
      <c r="D232" s="8" t="n">
        <v>2161100</v>
      </c>
      <c r="E232" s="8" t="inlineStr">
        <is>
          <t>DANTROLENE SOD IV FA 20 MG</t>
        </is>
      </c>
    </row>
    <row r="233">
      <c r="D233" s="8" t="n">
        <v>2106102</v>
      </c>
      <c r="E233" s="8" t="inlineStr">
        <is>
          <t>DAPSONA 100 MG CAPSULAS</t>
        </is>
      </c>
    </row>
    <row r="234">
      <c r="D234" s="8" t="n">
        <v>2141500</v>
      </c>
      <c r="E234" s="8" t="inlineStr">
        <is>
          <t>DAPSONA CP 100 MG</t>
        </is>
      </c>
    </row>
    <row r="235">
      <c r="D235" s="8" t="n">
        <v>2159901</v>
      </c>
      <c r="E235" s="8" t="inlineStr">
        <is>
          <t>DAPSONA MATERIA PRIMA</t>
        </is>
      </c>
    </row>
    <row r="236">
      <c r="D236" s="8" t="n">
        <v>2190922</v>
      </c>
      <c r="E236" s="8" t="inlineStr">
        <is>
          <t>DASATINIB 100 MG CM BIOEQUIV</t>
        </is>
      </c>
    </row>
    <row r="237">
      <c r="D237" s="8" t="n">
        <v>2190927</v>
      </c>
      <c r="E237" s="8" t="inlineStr">
        <is>
          <t>DASATINIB 70 MG CM</t>
        </is>
      </c>
    </row>
    <row r="238">
      <c r="D238" s="8" t="n">
        <v>2191504</v>
      </c>
      <c r="E238" s="8" t="inlineStr">
        <is>
          <t xml:space="preserve">DAUNORRUBICINA FA 20 MG SOL. </t>
        </is>
      </c>
    </row>
    <row r="239">
      <c r="D239" s="8" t="n">
        <v>2171561</v>
      </c>
      <c r="E239" s="8" t="inlineStr">
        <is>
          <t>DECAMETRINA ASOC. FCO SHAMPOO</t>
        </is>
      </c>
    </row>
    <row r="240">
      <c r="D240" s="8" t="n">
        <v>2171560</v>
      </c>
      <c r="E240" s="8" t="inlineStr">
        <is>
          <t>DECAMETRINA ASOC. SOBRE (LAUN</t>
        </is>
      </c>
    </row>
    <row r="241">
      <c r="D241" s="8" t="n">
        <v>2131801</v>
      </c>
      <c r="E241" s="8" t="inlineStr">
        <is>
          <t>DEFLAZACORT CM 30 MG</t>
        </is>
      </c>
    </row>
    <row r="242">
      <c r="D242" s="8" t="n">
        <v>2141700</v>
      </c>
      <c r="E242" s="8" t="inlineStr">
        <is>
          <t>DEFLAZACORT CM 6 MG</t>
        </is>
      </c>
    </row>
    <row r="243">
      <c r="D243" s="8" t="n">
        <v>2621590</v>
      </c>
      <c r="E243" s="8" t="inlineStr">
        <is>
          <t>DESMOPRESINA ACET. NEBULIZADO</t>
        </is>
      </c>
    </row>
    <row r="244">
      <c r="D244" s="8" t="n">
        <v>2141750</v>
      </c>
      <c r="E244" s="8" t="inlineStr">
        <is>
          <t>DESMOPRESINA CM 0.1MG (DDAVP)</t>
        </is>
      </c>
    </row>
    <row r="245">
      <c r="D245" s="8" t="n">
        <v>2131806</v>
      </c>
      <c r="E245" s="8" t="inlineStr">
        <is>
          <t>DEXAMETASONA 0,7% IMPLANTE P/</t>
        </is>
      </c>
    </row>
    <row r="246">
      <c r="D246" s="8" t="n">
        <v>2131804</v>
      </c>
      <c r="E246" s="8" t="inlineStr">
        <is>
          <t>DEXAMETASONA AM 4 MG/1ML</t>
        </is>
      </c>
    </row>
    <row r="247">
      <c r="D247" s="8" t="n">
        <v>2191801</v>
      </c>
      <c r="E247" s="8" t="inlineStr">
        <is>
          <t>DEXAMETASONA CM 4 MG BIOEQUIV</t>
        </is>
      </c>
    </row>
    <row r="248">
      <c r="D248" s="8" t="n">
        <v>2161275</v>
      </c>
      <c r="E248" s="8" t="inlineStr">
        <is>
          <t>DEXMEDETOMIDINA FA 200 MCG/50</t>
        </is>
      </c>
    </row>
    <row r="249">
      <c r="D249" s="8" t="n">
        <v>2161270</v>
      </c>
      <c r="E249" s="8" t="inlineStr">
        <is>
          <t>DEXMEDETOMIDINA FA 200 UG/2 ML</t>
        </is>
      </c>
    </row>
    <row r="250">
      <c r="D250" s="8" t="n">
        <v>2161365</v>
      </c>
      <c r="E250" s="8" t="inlineStr">
        <is>
          <t>DIATRIZOATO MEGL,SOD 76% FA50</t>
        </is>
      </c>
    </row>
    <row r="251">
      <c r="D251" s="8" t="n">
        <v>2121810</v>
      </c>
      <c r="E251" s="8" t="inlineStr">
        <is>
          <t xml:space="preserve">DIAZEPAM AM 10 MG/2ML(CJX100 </t>
        </is>
      </c>
    </row>
    <row r="252">
      <c r="D252" s="8" t="n">
        <v>2121805</v>
      </c>
      <c r="E252" s="8" t="inlineStr">
        <is>
          <t>DIAZEPAM CM 10 MG(CJX1000)</t>
        </is>
      </c>
    </row>
    <row r="253">
      <c r="D253" s="8" t="n">
        <v>2141850</v>
      </c>
      <c r="E253" s="8" t="inlineStr">
        <is>
          <t>DICLOFENACO CM 25 MG</t>
        </is>
      </c>
    </row>
    <row r="254">
      <c r="D254" s="8" t="n">
        <v>2141860</v>
      </c>
      <c r="E254" s="8" t="inlineStr">
        <is>
          <t>DICLOFENACO CM 50 MG</t>
        </is>
      </c>
    </row>
    <row r="255">
      <c r="D255" s="8" t="n">
        <v>2013100</v>
      </c>
      <c r="E255" s="8" t="inlineStr">
        <is>
          <t>DICLOFENACO GEL TU.</t>
        </is>
      </c>
    </row>
    <row r="256">
      <c r="D256" s="8" t="n">
        <v>2171610</v>
      </c>
      <c r="E256" s="8" t="inlineStr">
        <is>
          <t>DICLOFENACO GOTAS 15MG/ML FCO</t>
        </is>
      </c>
    </row>
    <row r="257">
      <c r="D257" s="8" t="n">
        <v>2161370</v>
      </c>
      <c r="E257" s="8" t="inlineStr">
        <is>
          <t>DICLOFENACO SOD. AM 75 MG/3 M</t>
        </is>
      </c>
    </row>
    <row r="258">
      <c r="D258" s="8" t="n">
        <v>2171600</v>
      </c>
      <c r="E258" s="8" t="inlineStr">
        <is>
          <t>DICLOFENACO SUP 12,5 MG (CJ X</t>
        </is>
      </c>
    </row>
    <row r="259">
      <c r="D259" s="8" t="n">
        <v>2141870</v>
      </c>
      <c r="E259" s="8" t="inlineStr">
        <is>
          <t>DIFENIDOL CM 25 MG</t>
        </is>
      </c>
    </row>
    <row r="260">
      <c r="D260" s="8" t="n">
        <v>2141897</v>
      </c>
      <c r="E260" s="8" t="inlineStr">
        <is>
          <t>DIGOXINA CM 0,25 MG (CJX1000)</t>
        </is>
      </c>
    </row>
    <row r="261">
      <c r="D261" s="8" t="n">
        <v>2171980</v>
      </c>
      <c r="E261" s="8" t="inlineStr">
        <is>
          <t>DIGOXINA JBE 50 UG/ML FC X 60</t>
        </is>
      </c>
    </row>
    <row r="262">
      <c r="D262" s="8" t="n">
        <v>2148322</v>
      </c>
      <c r="E262" s="8" t="inlineStr">
        <is>
          <t>DILTIAZEM CLH 60 MG LIB. PROL</t>
        </is>
      </c>
    </row>
    <row r="263">
      <c r="D263" s="8" t="n">
        <v>2141905</v>
      </c>
      <c r="E263" s="8" t="inlineStr">
        <is>
          <t>DILTIAZEM CM 90 MG ( CJ X 20</t>
        </is>
      </c>
    </row>
    <row r="264">
      <c r="D264" s="8" t="n">
        <v>2141914</v>
      </c>
      <c r="E264" s="8" t="inlineStr">
        <is>
          <t>DIMETILFUMARATO CP 120 MG</t>
        </is>
      </c>
    </row>
    <row r="265">
      <c r="D265" s="8" t="n">
        <v>2141915</v>
      </c>
      <c r="E265" s="8" t="inlineStr">
        <is>
          <t>DIMETILFUMARATO CP 240 MG</t>
        </is>
      </c>
    </row>
    <row r="266">
      <c r="D266" s="8" t="n">
        <v>2191815</v>
      </c>
      <c r="E266" s="8" t="inlineStr">
        <is>
          <t>DIMETILSUFOXIDO 50% FA 200 ML</t>
        </is>
      </c>
    </row>
    <row r="267">
      <c r="D267" s="8" t="n">
        <v>2161374</v>
      </c>
      <c r="E267" s="8" t="inlineStr">
        <is>
          <t>DIPIRIDAMOL AM 10 MG /2ML (CJ</t>
        </is>
      </c>
    </row>
    <row r="268">
      <c r="D268" s="8" t="n">
        <v>2161160</v>
      </c>
      <c r="E268" s="8" t="inlineStr">
        <is>
          <t>DISULFIRAM AMPOLLAS 1 GRAMO I</t>
        </is>
      </c>
    </row>
    <row r="269">
      <c r="D269" s="8" t="n">
        <v>2141920</v>
      </c>
      <c r="E269" s="8" t="inlineStr">
        <is>
          <t>DISULFIRAMO CM 500 MG (CJX100</t>
        </is>
      </c>
    </row>
    <row r="270">
      <c r="D270" s="8" t="n">
        <v>2161376</v>
      </c>
      <c r="E270" s="8" t="inlineStr">
        <is>
          <t>DOBUTAMINA AM 250 MG/5 ML</t>
        </is>
      </c>
    </row>
    <row r="271">
      <c r="D271" s="8" t="n">
        <v>2190931</v>
      </c>
      <c r="E271" s="8" t="inlineStr">
        <is>
          <t>DOCETAXEL 160 MG/8 ML</t>
        </is>
      </c>
    </row>
    <row r="272">
      <c r="D272" s="8" t="n">
        <v>2190926</v>
      </c>
      <c r="E272" s="8" t="inlineStr">
        <is>
          <t>DOCETAXEL FA 80 MG/ 4ML</t>
        </is>
      </c>
    </row>
    <row r="273">
      <c r="D273" s="8" t="n">
        <v>2171700</v>
      </c>
      <c r="E273" s="8" t="inlineStr">
        <is>
          <t>DOMPERIDONA 1% GTS ORALES FC</t>
        </is>
      </c>
    </row>
    <row r="274">
      <c r="D274" s="8" t="n">
        <v>2161380</v>
      </c>
      <c r="E274" s="8" t="inlineStr">
        <is>
          <t>DOMPERIDONA AM 10 MG/2ML</t>
        </is>
      </c>
    </row>
    <row r="275">
      <c r="D275" s="8" t="n">
        <v>2142000</v>
      </c>
      <c r="E275" s="8" t="inlineStr">
        <is>
          <t>DOMPERIDONA CAP 10 MG</t>
        </is>
      </c>
    </row>
    <row r="276">
      <c r="D276" s="8" t="n">
        <v>2142050</v>
      </c>
      <c r="E276" s="8" t="inlineStr">
        <is>
          <t>DONEPEZILO CM 10 MG</t>
        </is>
      </c>
    </row>
    <row r="277">
      <c r="D277" s="8" t="n">
        <v>2161500</v>
      </c>
      <c r="E277" s="8" t="inlineStr">
        <is>
          <t>DOPAMINA AM 200 MG/5ML</t>
        </is>
      </c>
    </row>
    <row r="278">
      <c r="D278" s="8" t="n">
        <v>2171800</v>
      </c>
      <c r="E278" s="8" t="inlineStr">
        <is>
          <t>DORZOLAMIDA/TIMOLOL 20MG/5MG/</t>
        </is>
      </c>
    </row>
    <row r="279">
      <c r="D279" s="8" t="n">
        <v>2142100</v>
      </c>
      <c r="E279" s="8" t="inlineStr">
        <is>
          <t>DOXAZOSINA CM 4 MG (CARDURA,</t>
        </is>
      </c>
    </row>
    <row r="280">
      <c r="D280" s="8" t="n">
        <v>2132016</v>
      </c>
      <c r="E280" s="8" t="inlineStr">
        <is>
          <t>DOXICICLINA CP 100 MG.</t>
        </is>
      </c>
    </row>
    <row r="281">
      <c r="D281" s="8" t="n">
        <v>2191861</v>
      </c>
      <c r="E281" s="8" t="inlineStr">
        <is>
          <t>DOXORRUBICINA FA 50MG SOLUCIO</t>
        </is>
      </c>
    </row>
    <row r="282">
      <c r="D282" s="8" t="n">
        <v>2161600</v>
      </c>
      <c r="E282" s="8" t="inlineStr">
        <is>
          <t>DROPERIDOL 5MG / 2ML</t>
        </is>
      </c>
    </row>
    <row r="283">
      <c r="D283" s="8" t="n">
        <v>2142130</v>
      </c>
      <c r="E283" s="8" t="inlineStr">
        <is>
          <t>DULOXETINA CP 30  MG</t>
        </is>
      </c>
    </row>
    <row r="284">
      <c r="D284" s="8" t="n">
        <v>2161165</v>
      </c>
      <c r="E284" s="8" t="inlineStr">
        <is>
          <t>DUPILUMAB 300MG/2ML JERINGA PR</t>
        </is>
      </c>
    </row>
    <row r="285">
      <c r="D285" s="8" t="n">
        <v>2142941</v>
      </c>
      <c r="E285" s="8" t="inlineStr">
        <is>
          <t>DUTASTERIDA 0,5 MG + TAMSULOS</t>
        </is>
      </c>
    </row>
    <row r="286">
      <c r="D286" s="8" t="n">
        <v>2621060</v>
      </c>
      <c r="E286" s="8" t="inlineStr">
        <is>
          <t>EAC ALFA-DORNASA AM 2,5MG/2,5M</t>
        </is>
      </c>
    </row>
    <row r="287">
      <c r="D287" s="8" t="n">
        <v>2628240</v>
      </c>
      <c r="E287" s="8" t="inlineStr">
        <is>
          <t>EAC CORDOXENE GLATIRAMER 40 MG</t>
        </is>
      </c>
    </row>
    <row r="288">
      <c r="D288" s="8" t="n">
        <v>2625060</v>
      </c>
      <c r="E288" s="8" t="inlineStr">
        <is>
          <t>EAC EMICIZUMAB FA 60 MG/0,4 ML</t>
        </is>
      </c>
    </row>
    <row r="289">
      <c r="D289" s="8" t="n">
        <v>2626510</v>
      </c>
      <c r="E289" s="8" t="inlineStr">
        <is>
          <t>EAC ETANERCEPT 50 MG (ENBREL )</t>
        </is>
      </c>
    </row>
    <row r="290">
      <c r="D290" s="8" t="n">
        <v>2620042</v>
      </c>
      <c r="E290" s="8" t="inlineStr">
        <is>
          <t>EAC FACTOR ANTIHEMOF.IX-1000 F</t>
        </is>
      </c>
    </row>
    <row r="291">
      <c r="D291" s="8" t="n">
        <v>2620039</v>
      </c>
      <c r="E291" s="8" t="inlineStr">
        <is>
          <t>EAC FACTOR ANTIHEMOF.VIII 1000</t>
        </is>
      </c>
    </row>
    <row r="292">
      <c r="D292" s="8" t="n">
        <v>2620037</v>
      </c>
      <c r="E292" s="8" t="inlineStr">
        <is>
          <t>EAC FACTOR ANTIHEMOF.VIII 250</t>
        </is>
      </c>
    </row>
    <row r="293">
      <c r="D293" s="8" t="n">
        <v>2620038</v>
      </c>
      <c r="E293" s="8" t="inlineStr">
        <is>
          <t>EAC FACTOR ANTIHEMOF.VIII 500</t>
        </is>
      </c>
    </row>
    <row r="294">
      <c r="D294" s="8" t="n">
        <v>2620041</v>
      </c>
      <c r="E294" s="8" t="inlineStr">
        <is>
          <t>EAC FACTOR ANTIHEMOF-IX 500 UI</t>
        </is>
      </c>
    </row>
    <row r="295">
      <c r="D295" s="8" t="n">
        <v>2623095</v>
      </c>
      <c r="E295" s="8" t="inlineStr">
        <is>
          <t>EAC HORM. CRECIMIENTO 10 MG (3</t>
        </is>
      </c>
    </row>
    <row r="296">
      <c r="D296" s="8" t="n">
        <v>2628305</v>
      </c>
      <c r="E296" s="8" t="inlineStr">
        <is>
          <t>EAC INMUNOGLOBULINA HUMANA E.V</t>
        </is>
      </c>
    </row>
    <row r="297">
      <c r="D297" s="8" t="n">
        <v>2624190</v>
      </c>
      <c r="E297" s="8" t="inlineStr">
        <is>
          <t>EAC INTERF. (REBIF) BETA 1-A 4</t>
        </is>
      </c>
    </row>
    <row r="298">
      <c r="D298" s="8" t="n">
        <v>2081900</v>
      </c>
      <c r="E298" s="8" t="inlineStr">
        <is>
          <t>EAC INTERFE. (AVONEX) BETA-1A</t>
        </is>
      </c>
    </row>
    <row r="299">
      <c r="D299" s="8" t="n">
        <v>2145905</v>
      </c>
      <c r="E299" s="8" t="inlineStr">
        <is>
          <t>EAC PANCREOLIPASA CP 10.000 UI</t>
        </is>
      </c>
    </row>
    <row r="300">
      <c r="D300" s="8" t="n">
        <v>2145904</v>
      </c>
      <c r="E300" s="8" t="inlineStr">
        <is>
          <t>EAC PANCREOLIPASA CP 25.000 UI</t>
        </is>
      </c>
    </row>
    <row r="301">
      <c r="D301" s="8" t="n">
        <v>2137600</v>
      </c>
      <c r="E301" s="8" t="inlineStr">
        <is>
          <t>EAC SOFOSBUVIR 400 MG/VELPATAS</t>
        </is>
      </c>
    </row>
    <row r="302">
      <c r="D302" s="8" t="n">
        <v>2138287</v>
      </c>
      <c r="E302" s="8" t="inlineStr">
        <is>
          <t>EAC TOBRAMICINA SOL INH 300MG/</t>
        </is>
      </c>
    </row>
    <row r="303">
      <c r="D303" s="8" t="n">
        <v>2620076</v>
      </c>
      <c r="E303" s="8" t="inlineStr">
        <is>
          <t>EAC TOX.BOTULINICA-500 UI - DY</t>
        </is>
      </c>
    </row>
    <row r="304">
      <c r="D304" s="8" t="n">
        <v>2161800</v>
      </c>
      <c r="E304" s="8" t="inlineStr">
        <is>
          <t>EFEDRINA 6% AM 1 ML</t>
        </is>
      </c>
    </row>
    <row r="305">
      <c r="D305" s="8" t="n">
        <v>2142450</v>
      </c>
      <c r="E305" s="8" t="inlineStr">
        <is>
          <t>EMPAGLIFLOZINA CM 10 MG</t>
        </is>
      </c>
    </row>
    <row r="306">
      <c r="D306" s="8" t="n">
        <v>2142510</v>
      </c>
      <c r="E306" s="8" t="inlineStr">
        <is>
          <t>ENALAPRILA CM 10 MG</t>
        </is>
      </c>
    </row>
    <row r="307">
      <c r="D307" s="8" t="n">
        <v>2142520</v>
      </c>
      <c r="E307" s="8" t="inlineStr">
        <is>
          <t>ENALAPRILA CM 20 MG</t>
        </is>
      </c>
    </row>
    <row r="308">
      <c r="D308" s="8" t="n">
        <v>2142500</v>
      </c>
      <c r="E308" s="8" t="inlineStr">
        <is>
          <t>ENALAPRILA CM 5 MG</t>
        </is>
      </c>
    </row>
    <row r="309">
      <c r="D309" s="8" t="n">
        <v>2173010</v>
      </c>
      <c r="E309" s="8" t="inlineStr">
        <is>
          <t>ENEMA FC USO RECTAL ADULTO(FO</t>
        </is>
      </c>
    </row>
    <row r="310">
      <c r="D310" s="8" t="n">
        <v>2010566</v>
      </c>
      <c r="E310" s="8" t="inlineStr">
        <is>
          <t>ENOXAPARINA  80MGS/0,8 ML JER</t>
        </is>
      </c>
    </row>
    <row r="311">
      <c r="D311" s="8" t="n">
        <v>2081005</v>
      </c>
      <c r="E311" s="8" t="inlineStr">
        <is>
          <t>ENOXAPARINA 20MG/0,2ML</t>
        </is>
      </c>
    </row>
    <row r="312">
      <c r="D312" s="8" t="n">
        <v>2081000</v>
      </c>
      <c r="E312" s="8" t="inlineStr">
        <is>
          <t>ENOXAPARINA 40MG/0.4ML</t>
        </is>
      </c>
    </row>
    <row r="313">
      <c r="D313" s="8" t="n">
        <v>2010561</v>
      </c>
      <c r="E313" s="8" t="inlineStr">
        <is>
          <t>ENOXAPARINA 60 MGS/0,6 ML JER.</t>
        </is>
      </c>
    </row>
    <row r="314">
      <c r="D314" s="8" t="n">
        <v>2161890</v>
      </c>
      <c r="E314" s="8" t="inlineStr">
        <is>
          <t>EPINEFRINA AM 1 MG/1ML (CJX10</t>
        </is>
      </c>
    </row>
    <row r="315">
      <c r="D315" s="8" t="n">
        <v>2161900</v>
      </c>
      <c r="E315" s="8" t="inlineStr">
        <is>
          <t>ERGOMETRINA MAL. AM 0,2MG/1ML</t>
        </is>
      </c>
    </row>
    <row r="316">
      <c r="D316" s="8" t="n">
        <v>2625994</v>
      </c>
      <c r="E316" s="8" t="inlineStr">
        <is>
          <t>ERITROPOYETIN 75 MCG (MIRCERA</t>
        </is>
      </c>
    </row>
    <row r="317">
      <c r="D317" s="8" t="n">
        <v>2625993</v>
      </c>
      <c r="E317" s="8" t="inlineStr">
        <is>
          <t>ERITROPOYETINA 50 MCG</t>
        </is>
      </c>
    </row>
    <row r="318">
      <c r="D318" s="8" t="n">
        <v>2625992</v>
      </c>
      <c r="E318" s="8" t="inlineStr">
        <is>
          <t>ERITROPOYETINA FA 2000 UI/2ML</t>
        </is>
      </c>
    </row>
    <row r="319">
      <c r="D319" s="8" t="n">
        <v>2625991</v>
      </c>
      <c r="E319" s="8" t="inlineStr">
        <is>
          <t>ERITROPOYETINA FA 4000 UI/ML</t>
        </is>
      </c>
    </row>
    <row r="320">
      <c r="D320" s="8" t="n">
        <v>2134945</v>
      </c>
      <c r="E320" s="8" t="inlineStr">
        <is>
          <t>ERTAPENEM FA 1GR</t>
        </is>
      </c>
    </row>
    <row r="321">
      <c r="D321" s="8" t="n">
        <v>2142530</v>
      </c>
      <c r="E321" s="8" t="inlineStr">
        <is>
          <t>ESCITALOPRAM CM 10 MG</t>
        </is>
      </c>
    </row>
    <row r="322">
      <c r="D322" s="8" t="n">
        <v>2161902</v>
      </c>
      <c r="E322" s="8" t="inlineStr">
        <is>
          <t>ESCOPOLAMINA N-BUTIL BROMUR A</t>
        </is>
      </c>
    </row>
    <row r="323">
      <c r="D323" s="8" t="n">
        <v>2109803</v>
      </c>
      <c r="E323" s="8" t="inlineStr">
        <is>
          <t>ESPIRONOLACTONA 1 MG/ML SUSPE</t>
        </is>
      </c>
    </row>
    <row r="324">
      <c r="D324" s="8" t="n">
        <v>2147960</v>
      </c>
      <c r="E324" s="8" t="inlineStr">
        <is>
          <t>ESPIRONOLACTONA CM 25MG (X100</t>
        </is>
      </c>
    </row>
    <row r="325">
      <c r="D325" s="8" t="n">
        <v>2142715</v>
      </c>
      <c r="E325" s="8" t="inlineStr">
        <is>
          <t>ESTRADIOL CM 2 MG</t>
        </is>
      </c>
    </row>
    <row r="326">
      <c r="D326" s="8" t="n">
        <v>2132680</v>
      </c>
      <c r="E326" s="8" t="inlineStr">
        <is>
          <t>ETAMBUTOL CLOR CM 400MG</t>
        </is>
      </c>
    </row>
    <row r="327">
      <c r="D327" s="8" t="n">
        <v>2132670</v>
      </c>
      <c r="E327" s="8" t="inlineStr">
        <is>
          <t>ETAMBUTOL CM 200 MG</t>
        </is>
      </c>
    </row>
    <row r="328">
      <c r="D328" s="8" t="n">
        <v>2626500</v>
      </c>
      <c r="E328" s="8" t="inlineStr">
        <is>
          <t>ETANERCEPT 25 MG JERINGA PREL</t>
        </is>
      </c>
    </row>
    <row r="329">
      <c r="D329" s="8" t="n">
        <v>2161905</v>
      </c>
      <c r="E329" s="8" t="inlineStr">
        <is>
          <t>ETOMIDATO AM 2MG/1ML AM 10 ML</t>
        </is>
      </c>
    </row>
    <row r="330">
      <c r="D330" s="8" t="n">
        <v>2190935</v>
      </c>
      <c r="E330" s="8" t="inlineStr">
        <is>
          <t>ETOPOSIDO FA 100 MG  SOL. INY</t>
        </is>
      </c>
    </row>
    <row r="331">
      <c r="D331" s="8" t="n">
        <v>2142750</v>
      </c>
      <c r="E331" s="8" t="inlineStr">
        <is>
          <t>ETOSUXIMIDA CM 250 MG</t>
        </is>
      </c>
    </row>
    <row r="332">
      <c r="D332" s="8" t="n">
        <v>2173020</v>
      </c>
      <c r="E332" s="8" t="inlineStr">
        <is>
          <t>EVACUANTE INTEST FC SOL ORAL(</t>
        </is>
      </c>
    </row>
    <row r="333">
      <c r="D333" s="8" t="n">
        <v>2142800</v>
      </c>
      <c r="E333" s="8" t="inlineStr">
        <is>
          <t>EVEROLIMUS CM 0,5 MG</t>
        </is>
      </c>
    </row>
    <row r="334">
      <c r="D334" s="8" t="n">
        <v>2142801</v>
      </c>
      <c r="E334" s="8" t="inlineStr">
        <is>
          <t>EVEROLIMUS CM 0,75 MG</t>
        </is>
      </c>
    </row>
    <row r="335">
      <c r="D335" s="8" t="n">
        <v>2190950</v>
      </c>
      <c r="E335" s="8" t="inlineStr">
        <is>
          <t>EXEMESTANO 25 MG CM (AROMASIN</t>
        </is>
      </c>
    </row>
    <row r="336">
      <c r="D336" s="8" t="n">
        <v>2620046</v>
      </c>
      <c r="E336" s="8" t="inlineStr">
        <is>
          <t>FACT ANTIHEMOF VIII  500 UI RE</t>
        </is>
      </c>
    </row>
    <row r="337">
      <c r="D337" s="8" t="n">
        <v>2620035</v>
      </c>
      <c r="E337" s="8" t="inlineStr">
        <is>
          <t>FACTOR VII ACTIVADO FA 2 MG</t>
        </is>
      </c>
    </row>
    <row r="338">
      <c r="D338" s="8" t="n">
        <v>2162042</v>
      </c>
      <c r="E338" s="8" t="inlineStr">
        <is>
          <t>FENILEFRINA  1% AM 1 ML</t>
        </is>
      </c>
    </row>
    <row r="339">
      <c r="D339" s="8" t="n">
        <v>2172970</v>
      </c>
      <c r="E339" s="8" t="inlineStr">
        <is>
          <t>FENILEFRINA CLORH 2,5% COLIR</t>
        </is>
      </c>
    </row>
    <row r="340">
      <c r="D340" s="8" t="n">
        <v>2142910</v>
      </c>
      <c r="E340" s="8" t="inlineStr">
        <is>
          <t>FENITOINA SOD CM 100 MG (CJX1</t>
        </is>
      </c>
    </row>
    <row r="341">
      <c r="D341" s="8" t="n">
        <v>2162050</v>
      </c>
      <c r="E341" s="8" t="inlineStr">
        <is>
          <t>FENITOINA SODICA AM 250 MG/5M</t>
        </is>
      </c>
    </row>
    <row r="342">
      <c r="D342" s="8" t="n">
        <v>2122820</v>
      </c>
      <c r="E342" s="8" t="inlineStr">
        <is>
          <t>FENOBARBITAL CM 100 MG CJX100</t>
        </is>
      </c>
    </row>
    <row r="343">
      <c r="D343" s="8" t="n">
        <v>2122810</v>
      </c>
      <c r="E343" s="8" t="inlineStr">
        <is>
          <t>FENOBARBITAL CM 15 MG (CJX100</t>
        </is>
      </c>
    </row>
    <row r="344">
      <c r="D344" s="8" t="n">
        <v>2122800</v>
      </c>
      <c r="E344" s="8" t="inlineStr">
        <is>
          <t>FENOBARBITAL SOD FA 200MG (CJ</t>
        </is>
      </c>
    </row>
    <row r="345">
      <c r="D345" s="8" t="n">
        <v>2162100</v>
      </c>
      <c r="E345" s="8" t="inlineStr">
        <is>
          <t>FENOTEROL AM 0,5 MG/10 ML</t>
        </is>
      </c>
    </row>
    <row r="346">
      <c r="D346" s="8" t="n">
        <v>2171100</v>
      </c>
      <c r="E346" s="8" t="inlineStr">
        <is>
          <t>FENOTEROL/IPRATROP INH FC</t>
        </is>
      </c>
    </row>
    <row r="347">
      <c r="D347" s="8" t="n">
        <v>2171050</v>
      </c>
      <c r="E347" s="8" t="inlineStr">
        <is>
          <t xml:space="preserve">FENOTEROL/IPRATROP SOL.P/NEB </t>
        </is>
      </c>
    </row>
    <row r="348">
      <c r="D348" s="8" t="n">
        <v>2122901</v>
      </c>
      <c r="E348" s="8" t="inlineStr">
        <is>
          <t>FENTANILO 0,1 MG/2ML AM</t>
        </is>
      </c>
    </row>
    <row r="349">
      <c r="D349" s="8" t="n">
        <v>2122900</v>
      </c>
      <c r="E349" s="8" t="inlineStr">
        <is>
          <t>FENTANILO CITRAT AM 0,5MG/10ML</t>
        </is>
      </c>
    </row>
    <row r="350">
      <c r="D350" s="8" t="n">
        <v>2122904</v>
      </c>
      <c r="E350" s="8" t="inlineStr">
        <is>
          <t>FENTANILO PARCHE 25 UG</t>
        </is>
      </c>
    </row>
    <row r="351">
      <c r="D351" s="8" t="n">
        <v>2122905</v>
      </c>
      <c r="E351" s="8" t="inlineStr">
        <is>
          <t>FENTANILO PARCHE 50 UG</t>
        </is>
      </c>
    </row>
    <row r="352">
      <c r="D352" s="8" t="n">
        <v>2142940</v>
      </c>
      <c r="E352" s="8" t="inlineStr">
        <is>
          <t>FERROSO SULF CM 200 MG (CJX10</t>
        </is>
      </c>
    </row>
    <row r="353">
      <c r="D353" s="8" t="n">
        <v>2173000</v>
      </c>
      <c r="E353" s="124" t="inlineStr">
        <is>
          <t>FERROSO SULFATO GTS 125MG/1ML (1ml=25gts)</t>
        </is>
      </c>
    </row>
    <row r="354">
      <c r="D354" s="8" t="n">
        <v>2162110</v>
      </c>
      <c r="E354" s="8" t="inlineStr">
        <is>
          <t>FIERRO AM 100MG IV</t>
        </is>
      </c>
    </row>
    <row r="355">
      <c r="D355" s="8" t="n">
        <v>2623200</v>
      </c>
      <c r="E355" s="8" t="inlineStr">
        <is>
          <t>FILGRASTIM BIOSIMILAR FA 300M</t>
        </is>
      </c>
    </row>
    <row r="356">
      <c r="D356" s="8" t="n">
        <v>2628000</v>
      </c>
      <c r="E356" s="8" t="inlineStr">
        <is>
          <t>FILGRASTIM BIOSIMILAR JER 300</t>
        </is>
      </c>
    </row>
    <row r="357">
      <c r="D357" s="8" t="n">
        <v>2140390</v>
      </c>
      <c r="E357" s="8" t="inlineStr">
        <is>
          <t>FINGOLIMOD CM 0.5 MG</t>
        </is>
      </c>
    </row>
    <row r="358">
      <c r="D358" s="8" t="n">
        <v>2162126</v>
      </c>
      <c r="E358" s="8" t="inlineStr">
        <is>
          <t>FITOMENADIONA IV AM 10MG/ML"K</t>
        </is>
      </c>
    </row>
    <row r="359">
      <c r="D359" s="8" t="n">
        <v>2162140</v>
      </c>
      <c r="E359" s="8" t="inlineStr">
        <is>
          <t>FITOQUINONA AM 10 MG/1ML IM</t>
        </is>
      </c>
    </row>
    <row r="360">
      <c r="D360" s="8" t="n">
        <v>2132025</v>
      </c>
      <c r="E360" s="8" t="inlineStr">
        <is>
          <t>FLUCLOXACILINA CP 500 MG CJ X</t>
        </is>
      </c>
    </row>
    <row r="361">
      <c r="D361" s="8" t="n">
        <v>2133020</v>
      </c>
      <c r="E361" s="8" t="inlineStr">
        <is>
          <t>FLUCLOXACILINA FCJBE 250MG/5M</t>
        </is>
      </c>
    </row>
    <row r="362">
      <c r="D362" s="8" t="n">
        <v>2133030</v>
      </c>
      <c r="E362" s="8" t="inlineStr">
        <is>
          <t>FLUCONAZOL CP 150 MG</t>
        </is>
      </c>
    </row>
    <row r="363">
      <c r="D363" s="8" t="n">
        <v>2133025</v>
      </c>
      <c r="E363" s="8" t="inlineStr">
        <is>
          <t>FLUCONAZOL IV FA 200MG FC 100</t>
        </is>
      </c>
    </row>
    <row r="364">
      <c r="D364" s="8" t="n">
        <v>2191910</v>
      </c>
      <c r="E364" s="8" t="inlineStr">
        <is>
          <t>FLUDARABINA FA 50 MG</t>
        </is>
      </c>
    </row>
    <row r="365">
      <c r="D365" s="8" t="n">
        <v>2133060</v>
      </c>
      <c r="E365" s="8" t="inlineStr">
        <is>
          <t>FLUDROCORTISONA CM 0,1 MG (FC</t>
        </is>
      </c>
    </row>
    <row r="366">
      <c r="D366" s="8" t="n">
        <v>2161180</v>
      </c>
      <c r="E366" s="8" t="inlineStr">
        <is>
          <t>FLUFENAZINA DEC. FA250 MG/10M</t>
        </is>
      </c>
    </row>
    <row r="367">
      <c r="D367" s="8" t="n">
        <v>2162150</v>
      </c>
      <c r="E367" s="8" t="inlineStr">
        <is>
          <t>FLUMAZENIL AM 0,5MG/5ML(LANEX</t>
        </is>
      </c>
    </row>
    <row r="368">
      <c r="D368" s="8" t="n">
        <v>2162153</v>
      </c>
      <c r="E368" s="8" t="inlineStr">
        <is>
          <t>FLUORESCE?NA 25% AM 3ML</t>
        </is>
      </c>
    </row>
    <row r="369">
      <c r="D369" s="8" t="n">
        <v>2162152</v>
      </c>
      <c r="E369" s="8" t="inlineStr">
        <is>
          <t>FLUORESCEINA 10% AM 5 ML</t>
        </is>
      </c>
    </row>
    <row r="370">
      <c r="D370" s="8" t="n">
        <v>2192165</v>
      </c>
      <c r="E370" s="8" t="inlineStr">
        <is>
          <t>FLUORURACILO FA SOL 5 GR/100 M</t>
        </is>
      </c>
    </row>
    <row r="371">
      <c r="D371" s="8" t="n">
        <v>2192163</v>
      </c>
      <c r="E371" s="8" t="inlineStr">
        <is>
          <t>FLUOURACILO FA SOL 1 GR/20 ML</t>
        </is>
      </c>
    </row>
    <row r="372">
      <c r="D372" s="8" t="n">
        <v>2142950</v>
      </c>
      <c r="E372" s="8" t="inlineStr">
        <is>
          <t>FLUOXETINA CM 20 MG</t>
        </is>
      </c>
    </row>
    <row r="373">
      <c r="D373" s="8" t="n">
        <v>2192500</v>
      </c>
      <c r="E373" s="8" t="inlineStr">
        <is>
          <t>FLUTAMIDA CM 250 MG BIOEQUIVA</t>
        </is>
      </c>
    </row>
    <row r="374">
      <c r="D374" s="8" t="n">
        <v>2173036</v>
      </c>
      <c r="E374" s="8" t="inlineStr">
        <is>
          <t>FLUTICASONA F./VILANTEROL 184/</t>
        </is>
      </c>
    </row>
    <row r="375">
      <c r="D375" s="8" t="n">
        <v>2173035</v>
      </c>
      <c r="E375" s="8" t="inlineStr">
        <is>
          <t>FLUTICASONA INH 125 UG (FLE XO</t>
        </is>
      </c>
    </row>
    <row r="376">
      <c r="D376" s="8" t="n">
        <v>2173038</v>
      </c>
      <c r="E376" s="8" t="inlineStr">
        <is>
          <t>FORMOTEROL/BUDESONIDA 160/4,5</t>
        </is>
      </c>
    </row>
    <row r="377">
      <c r="D377" s="8" t="n">
        <v>2173039</v>
      </c>
      <c r="E377" s="8" t="inlineStr">
        <is>
          <t>FORMOTEROL/BUDESONIDA 320/9 MC</t>
        </is>
      </c>
    </row>
    <row r="378">
      <c r="D378" s="8" t="n">
        <v>2164740</v>
      </c>
      <c r="E378" s="8" t="inlineStr">
        <is>
          <t>FOSFATO MONOPOTAS 15% AM 10ML</t>
        </is>
      </c>
    </row>
    <row r="379">
      <c r="D379" s="8" t="n">
        <v>2108700</v>
      </c>
      <c r="E379" s="8" t="inlineStr">
        <is>
          <t>FOSFATO SOL. (CONC 128.5MG/ML</t>
        </is>
      </c>
    </row>
    <row r="380">
      <c r="D380" s="8" t="n">
        <v>2173045</v>
      </c>
      <c r="E380" s="8" t="inlineStr">
        <is>
          <t>FUROSEMIDA 10MG/ML * 60ML</t>
        </is>
      </c>
    </row>
    <row r="381">
      <c r="D381" s="8" t="n">
        <v>2109805</v>
      </c>
      <c r="E381" s="8" t="inlineStr">
        <is>
          <t>FUROSEMIDA 2MG/ML JARABE</t>
        </is>
      </c>
    </row>
    <row r="382">
      <c r="D382" s="8" t="n">
        <v>2162270</v>
      </c>
      <c r="E382" s="8" t="inlineStr">
        <is>
          <t>FUROSEMIDA AM 20 MG/1ML</t>
        </is>
      </c>
    </row>
    <row r="383">
      <c r="D383" s="8" t="n">
        <v>2140150</v>
      </c>
      <c r="E383" s="8" t="inlineStr">
        <is>
          <t>FUROSEMIDA CM 40 MG(CJX1000)</t>
        </is>
      </c>
    </row>
    <row r="384">
      <c r="D384" s="8" t="n">
        <v>2143080</v>
      </c>
      <c r="E384" s="8" t="inlineStr">
        <is>
          <t>GABAPENTINA CP 400 MG</t>
        </is>
      </c>
    </row>
    <row r="385">
      <c r="D385" s="8" t="n">
        <v>2162271</v>
      </c>
      <c r="E385" s="8" t="inlineStr">
        <is>
          <t xml:space="preserve">GADOVERSETAMIDA 0,5 MMOL/ML  </t>
        </is>
      </c>
    </row>
    <row r="386">
      <c r="D386" s="8" t="n">
        <v>2628200</v>
      </c>
      <c r="E386" s="8" t="inlineStr">
        <is>
          <t>GAMAGLOBULINA ANTI-RHO(D) FAX</t>
        </is>
      </c>
    </row>
    <row r="387">
      <c r="D387" s="8" t="n">
        <v>2192600</v>
      </c>
      <c r="E387" s="8" t="inlineStr">
        <is>
          <t>GANCICLOVIR FA 500 MG POLVO</t>
        </is>
      </c>
    </row>
    <row r="388">
      <c r="D388" s="8" t="n">
        <v>2187700</v>
      </c>
      <c r="E388" s="8" t="inlineStr">
        <is>
          <t>GELATINA FLUIDA MODIF. AM 500</t>
        </is>
      </c>
    </row>
    <row r="389">
      <c r="D389" s="8" t="n">
        <v>2192625</v>
      </c>
      <c r="E389" s="8" t="inlineStr">
        <is>
          <t>GEMCITABINA 1 GR FA SOLUCION</t>
        </is>
      </c>
    </row>
    <row r="390">
      <c r="D390" s="8" t="n">
        <v>2192620</v>
      </c>
      <c r="E390" s="8" t="inlineStr">
        <is>
          <t>GEMCITABINA 200 MG FA SOLUCION</t>
        </is>
      </c>
    </row>
    <row r="391">
      <c r="D391" s="8" t="n">
        <v>2144310</v>
      </c>
      <c r="E391" s="8" t="inlineStr">
        <is>
          <t>GEMFIBROZILO 600 MG</t>
        </is>
      </c>
    </row>
    <row r="392">
      <c r="D392" s="8" t="n">
        <v>2133160</v>
      </c>
      <c r="E392" s="8" t="inlineStr">
        <is>
          <t>GENTAMICINA 0,3%FC SOL OFT FC</t>
        </is>
      </c>
    </row>
    <row r="393">
      <c r="D393" s="8" t="n">
        <v>2133165</v>
      </c>
      <c r="E393" s="8" t="inlineStr">
        <is>
          <t>GENTAMICINA 0,3%TU UNG OFT PO</t>
        </is>
      </c>
    </row>
    <row r="394">
      <c r="D394" s="8" t="n">
        <v>2133155</v>
      </c>
      <c r="E394" s="8" t="inlineStr">
        <is>
          <t>GENTAMICINA AM 20MG/2ML(CJX10</t>
        </is>
      </c>
    </row>
    <row r="395">
      <c r="D395" s="8" t="n">
        <v>2133150</v>
      </c>
      <c r="E395" s="8" t="inlineStr">
        <is>
          <t>GENTAMICINA AM 80MG/2ML(CJX10</t>
        </is>
      </c>
    </row>
    <row r="396">
      <c r="D396" s="8" t="n">
        <v>2628452</v>
      </c>
      <c r="E396" s="8" t="inlineStr">
        <is>
          <t>GLARGINA INSULINA *LAPIZ*100 UI/ml</t>
        </is>
      </c>
    </row>
    <row r="397">
      <c r="D397" s="8" t="n">
        <v>2143200</v>
      </c>
      <c r="E397" s="8" t="inlineStr">
        <is>
          <t>GLIBENCLAMIDA CM 5 MG (CJX100</t>
        </is>
      </c>
    </row>
    <row r="398">
      <c r="D398" s="8" t="n">
        <v>2162275</v>
      </c>
      <c r="E398" s="8" t="inlineStr">
        <is>
          <t>GLICERINA JERINGA 5  ML</t>
        </is>
      </c>
    </row>
    <row r="399">
      <c r="D399" s="8" t="n">
        <v>2104500</v>
      </c>
      <c r="E399" s="8" t="inlineStr">
        <is>
          <t>GLICOPIRROLATO 0,3 MG</t>
        </is>
      </c>
    </row>
    <row r="400">
      <c r="D400" s="8" t="n">
        <v>2162295</v>
      </c>
      <c r="E400" s="8" t="inlineStr">
        <is>
          <t>GLUCAGON 1 MG FA</t>
        </is>
      </c>
    </row>
    <row r="401">
      <c r="D401" s="8" t="n">
        <v>2153238</v>
      </c>
      <c r="E401" s="8" t="inlineStr">
        <is>
          <t>GLUCOSA ANHID.FCOPEA</t>
        </is>
      </c>
    </row>
    <row r="402">
      <c r="D402" s="8" t="n">
        <v>2192710</v>
      </c>
      <c r="E402" s="8" t="inlineStr">
        <is>
          <t>GOSERELINA ACET. 10,8 MG JER.</t>
        </is>
      </c>
    </row>
    <row r="403">
      <c r="D403" s="8" t="n">
        <v>2012210</v>
      </c>
      <c r="E403" s="8" t="inlineStr">
        <is>
          <t>GRANISETRON AM 1 MG</t>
        </is>
      </c>
    </row>
    <row r="404">
      <c r="D404" s="8" t="n">
        <v>2012230</v>
      </c>
      <c r="E404" s="8" t="inlineStr">
        <is>
          <t>GRANISETRON AM 3 MG</t>
        </is>
      </c>
    </row>
    <row r="405">
      <c r="D405" s="8" t="n">
        <v>2162410</v>
      </c>
      <c r="E405" s="8" t="inlineStr">
        <is>
          <t>HALOPERIDOL AM 5 MG/1ML</t>
        </is>
      </c>
    </row>
    <row r="406">
      <c r="D406" s="8" t="n">
        <v>2143410</v>
      </c>
      <c r="E406" s="8" t="inlineStr">
        <is>
          <t>HALOPERIDOL CM 1 MG</t>
        </is>
      </c>
    </row>
    <row r="407">
      <c r="D407" s="8" t="n">
        <v>2143420</v>
      </c>
      <c r="E407" s="8" t="inlineStr">
        <is>
          <t>HALOPERIDOL CM 5 MG (FCX100)</t>
        </is>
      </c>
    </row>
    <row r="408">
      <c r="D408" s="8" t="n">
        <v>2162420</v>
      </c>
      <c r="E408" s="8" t="inlineStr">
        <is>
          <t>HALOPERIDOL DECAN AM 50MG/ML</t>
        </is>
      </c>
    </row>
    <row r="409">
      <c r="D409" s="8" t="n">
        <v>2162440</v>
      </c>
      <c r="E409" s="8" t="inlineStr">
        <is>
          <t>HEPARINA DIL.25UI/ML AM 5 ML</t>
        </is>
      </c>
    </row>
    <row r="410">
      <c r="D410" s="8" t="n">
        <v>2162430</v>
      </c>
      <c r="E410" s="8" t="inlineStr">
        <is>
          <t>HEPARINA FA25.000 U.I./5ML(5.</t>
        </is>
      </c>
    </row>
    <row r="411">
      <c r="D411" s="8" t="n">
        <v>2143475</v>
      </c>
      <c r="E411" s="8" t="inlineStr">
        <is>
          <t>HIDRALAZINA CLORH CM 50 MG</t>
        </is>
      </c>
    </row>
    <row r="412">
      <c r="D412" s="8" t="n">
        <v>2106000</v>
      </c>
      <c r="E412" s="8" t="inlineStr">
        <is>
          <t>HIDRATO CLORAL JBE 100 MG/ML</t>
        </is>
      </c>
    </row>
    <row r="413">
      <c r="D413" s="8" t="n">
        <v>2109807</v>
      </c>
      <c r="E413" s="8" t="inlineStr">
        <is>
          <t>HIDROCLOROTIAZIDA 2 MG/ML SUS</t>
        </is>
      </c>
    </row>
    <row r="414">
      <c r="D414" s="8" t="n">
        <v>2143480</v>
      </c>
      <c r="E414" s="8" t="inlineStr">
        <is>
          <t>HIDROCLOROTIAZIDA CM 50 MG (C</t>
        </is>
      </c>
    </row>
    <row r="415">
      <c r="D415" s="8" t="n">
        <v>2131445</v>
      </c>
      <c r="E415" s="8" t="inlineStr">
        <is>
          <t>HIDROCORTISONA 1% CREMA DERMIC</t>
        </is>
      </c>
    </row>
    <row r="416">
      <c r="D416" s="8" t="n">
        <v>2131450</v>
      </c>
      <c r="E416" s="8" t="inlineStr">
        <is>
          <t>HIDROCORTISONA CM 20MG (CJX10</t>
        </is>
      </c>
    </row>
    <row r="417">
      <c r="D417" s="8" t="n">
        <v>2131455</v>
      </c>
      <c r="E417" s="8" t="inlineStr">
        <is>
          <t>HIDROCORTISONA SUCC FA100MG</t>
        </is>
      </c>
    </row>
    <row r="418">
      <c r="D418" s="8" t="n">
        <v>2143490</v>
      </c>
      <c r="E418" s="8" t="inlineStr">
        <is>
          <t>HIDROXICLOROQUINA CM 200 MG (</t>
        </is>
      </c>
    </row>
    <row r="419">
      <c r="D419" s="8" t="n">
        <v>2187710</v>
      </c>
      <c r="E419" s="8" t="inlineStr">
        <is>
          <t>HIDROXIETIL ALMIDON 6% 500 ML</t>
        </is>
      </c>
    </row>
    <row r="420">
      <c r="D420" s="8" t="n">
        <v>2193500</v>
      </c>
      <c r="E420" s="8" t="inlineStr">
        <is>
          <t>HIDROXIUREA 500 MG CAP BIOEQU</t>
        </is>
      </c>
    </row>
    <row r="421">
      <c r="D421" s="8" t="n">
        <v>2143495</v>
      </c>
      <c r="E421" s="8" t="inlineStr">
        <is>
          <t>HIDROXIZINA CM 20 MG</t>
        </is>
      </c>
    </row>
    <row r="422">
      <c r="D422" s="8" t="n">
        <v>2173460</v>
      </c>
      <c r="E422" s="8" t="inlineStr">
        <is>
          <t>HIDROXIZINA JARABE 10 MG/5 ML</t>
        </is>
      </c>
    </row>
    <row r="423">
      <c r="D423" s="8" t="n">
        <v>2143701</v>
      </c>
      <c r="E423" s="8" t="inlineStr">
        <is>
          <t>IBUPROFENO CM 400 MG</t>
        </is>
      </c>
    </row>
    <row r="424">
      <c r="D424" s="8" t="n">
        <v>2162665</v>
      </c>
      <c r="E424" s="8" t="inlineStr">
        <is>
          <t xml:space="preserve">IBUPROFENO IV AM 5 MG/ML, AM </t>
        </is>
      </c>
    </row>
    <row r="425">
      <c r="D425" s="8" t="n">
        <v>2173700</v>
      </c>
      <c r="E425" s="8" t="inlineStr">
        <is>
          <t>IBUPROFENO SUSP 200MG/5ML FCO</t>
        </is>
      </c>
    </row>
    <row r="426">
      <c r="D426" s="8" t="n">
        <v>2193965</v>
      </c>
      <c r="E426" s="8" t="inlineStr">
        <is>
          <t>IDARUBICINA FA 10 MG</t>
        </is>
      </c>
    </row>
    <row r="427">
      <c r="D427" s="8" t="n">
        <v>2193960</v>
      </c>
      <c r="E427" s="8" t="inlineStr">
        <is>
          <t>IDARUBICINA FA 5 MG</t>
        </is>
      </c>
    </row>
    <row r="428">
      <c r="D428" s="8" t="n">
        <v>2628280</v>
      </c>
      <c r="E428" s="8" t="inlineStr">
        <is>
          <t>IDARUCIZUMAB KIT X 2 FA 2,5 GR</t>
        </is>
      </c>
    </row>
    <row r="429">
      <c r="D429" s="8" t="n">
        <v>2192800</v>
      </c>
      <c r="E429" s="8" t="inlineStr">
        <is>
          <t>IFOSFAMIDA FA 1 GR</t>
        </is>
      </c>
    </row>
    <row r="430">
      <c r="D430" s="8" t="n">
        <v>2192810</v>
      </c>
      <c r="E430" s="8" t="inlineStr">
        <is>
          <t>IMATINIB 100 MG BIOEQUIVAL</t>
        </is>
      </c>
    </row>
    <row r="431">
      <c r="D431" s="8" t="n">
        <v>2192812</v>
      </c>
      <c r="E431" s="8" t="inlineStr">
        <is>
          <t>IMATINIB 400MG BIOEQUIVAL</t>
        </is>
      </c>
    </row>
    <row r="432">
      <c r="D432" s="8" t="n">
        <v>2133330</v>
      </c>
      <c r="E432" s="8" t="inlineStr">
        <is>
          <t>IMIPENEM/CILASTATINA 500/500</t>
        </is>
      </c>
    </row>
    <row r="433">
      <c r="D433" s="8" t="n">
        <v>2143900</v>
      </c>
      <c r="E433" s="8" t="inlineStr">
        <is>
          <t>IMIPRAMINA CM 25 MG (CJX1000)</t>
        </is>
      </c>
    </row>
    <row r="434">
      <c r="D434" s="8" t="n">
        <v>2143940</v>
      </c>
      <c r="E434" s="8" t="inlineStr">
        <is>
          <t>INDOMETACINA CP 25 MG (CJX100</t>
        </is>
      </c>
    </row>
    <row r="435">
      <c r="D435" s="8" t="n">
        <v>2006110</v>
      </c>
      <c r="E435" s="8" t="inlineStr">
        <is>
          <t>INFLIXIMAB REMSIMA FA 100 MG L</t>
        </is>
      </c>
    </row>
    <row r="436">
      <c r="D436" s="8" t="n">
        <v>2628460</v>
      </c>
      <c r="E436" s="8" t="inlineStr">
        <is>
          <t>INSULINA  CARTUCHO ULTRA RAPID100 UI/10ml</t>
        </is>
      </c>
    </row>
    <row r="437">
      <c r="D437" s="8" t="n">
        <v>2628462</v>
      </c>
      <c r="E437" s="8" t="inlineStr">
        <is>
          <t>INSULINA DEGLUDEC 100 UI/ml X3ML</t>
        </is>
      </c>
    </row>
    <row r="438">
      <c r="D438" s="8" t="n">
        <v>2628458</v>
      </c>
      <c r="E438" s="8" t="inlineStr">
        <is>
          <t>INSULINA DETEMIR LAPIZ 100 UI/ml x 3ml</t>
        </is>
      </c>
    </row>
    <row r="439">
      <c r="D439" s="8" t="n">
        <v>2628451</v>
      </c>
      <c r="E439" s="8" t="inlineStr">
        <is>
          <t>INSULINA GLARGINA 300 UI/ML x1,5 ml</t>
        </is>
      </c>
    </row>
    <row r="440">
      <c r="D440" s="8" t="n">
        <v>2628453</v>
      </c>
      <c r="E440" s="8" t="inlineStr">
        <is>
          <t>INSULINA GLARGINA FA 100 UI/ml</t>
        </is>
      </c>
    </row>
    <row r="441">
      <c r="D441" s="8" t="n">
        <v>2628461</v>
      </c>
      <c r="E441" s="8" t="inlineStr">
        <is>
          <t>INSULINA ULTRA RAPIDA LAPIZ 100UI/ml x3ml</t>
        </is>
      </c>
    </row>
    <row r="442">
      <c r="D442" s="8" t="n">
        <v>2624000</v>
      </c>
      <c r="E442" s="8" t="inlineStr">
        <is>
          <t>INTERFERON PEGASYS ALFA-2A 18</t>
        </is>
      </c>
    </row>
    <row r="443">
      <c r="D443" s="8" t="n">
        <v>2173900</v>
      </c>
      <c r="E443" s="8" t="inlineStr">
        <is>
          <t>IPRATROPIO BR INH 0,02MG ( AT</t>
        </is>
      </c>
    </row>
    <row r="444">
      <c r="D444" s="8" t="n">
        <v>2173910</v>
      </c>
      <c r="E444" s="8" t="inlineStr">
        <is>
          <t>IPRATROPIO BR SOL NEB 0,25 MG</t>
        </is>
      </c>
    </row>
    <row r="445">
      <c r="D445" s="8" t="n">
        <v>2192164</v>
      </c>
      <c r="E445" s="8" t="inlineStr">
        <is>
          <t>IRINOTECAN 300 MG FA SOLUCION</t>
        </is>
      </c>
    </row>
    <row r="446">
      <c r="D446" s="8" t="n">
        <v>2192162</v>
      </c>
      <c r="E446" s="8" t="inlineStr">
        <is>
          <t>IRINOTECAN FA 100 MG SOL. INY</t>
        </is>
      </c>
    </row>
    <row r="447">
      <c r="D447" s="8" t="n">
        <v>2628450</v>
      </c>
      <c r="E447" s="8" t="inlineStr">
        <is>
          <t>ISOFAN NPH INSULINA FA100UI/ml x10ml</t>
        </is>
      </c>
    </row>
    <row r="448">
      <c r="D448" s="8" t="n">
        <v>2114001</v>
      </c>
      <c r="E448" s="8" t="inlineStr">
        <is>
          <t>ISOFLURANE 99,9 % FC 250 ML</t>
        </is>
      </c>
    </row>
    <row r="449">
      <c r="D449" s="8" t="n">
        <v>2133960</v>
      </c>
      <c r="E449" s="8" t="inlineStr">
        <is>
          <t>ISONIAZIDA 300 MG COMPRIMIDOS</t>
        </is>
      </c>
    </row>
    <row r="450">
      <c r="D450" s="8" t="n">
        <v>2133950</v>
      </c>
      <c r="E450" s="8" t="inlineStr">
        <is>
          <t>ISONIAZIDA CM 100 MG (CJX1000</t>
        </is>
      </c>
    </row>
    <row r="451">
      <c r="D451" s="8" t="n">
        <v>2144050</v>
      </c>
      <c r="E451" s="8" t="inlineStr">
        <is>
          <t>ISOSORBIDE DINIT CM 10 MG</t>
        </is>
      </c>
    </row>
    <row r="452">
      <c r="D452" s="8" t="n">
        <v>2198401</v>
      </c>
      <c r="E452" s="8" t="inlineStr">
        <is>
          <t>ISOTRETINOINA  20MG (CIS- RET</t>
        </is>
      </c>
    </row>
    <row r="453">
      <c r="D453" s="8" t="n">
        <v>2198403</v>
      </c>
      <c r="E453" s="8" t="inlineStr">
        <is>
          <t>ISOTRETINOINA 10 MG (CIS-RETI</t>
        </is>
      </c>
    </row>
    <row r="454">
      <c r="D454" s="8" t="n">
        <v>2122940</v>
      </c>
      <c r="E454" s="8" t="inlineStr">
        <is>
          <t>KETAMINA 500 MG/10 ML (50 MG/</t>
        </is>
      </c>
    </row>
    <row r="455">
      <c r="D455" s="8" t="n">
        <v>2081008</v>
      </c>
      <c r="E455" s="8" t="inlineStr">
        <is>
          <t>KETOROLACO AM 30 MG</t>
        </is>
      </c>
    </row>
    <row r="456">
      <c r="D456" s="8" t="n">
        <v>2163150</v>
      </c>
      <c r="E456" s="8" t="inlineStr">
        <is>
          <t>LABETALOL 100 MG AM 20 ML(TRA</t>
        </is>
      </c>
    </row>
    <row r="457">
      <c r="D457" s="8" t="n">
        <v>2163153</v>
      </c>
      <c r="E457" s="8" t="inlineStr">
        <is>
          <t>LACOSAMIDA 10 MG/ML SOL INYECT</t>
        </is>
      </c>
    </row>
    <row r="458">
      <c r="D458" s="8" t="n">
        <v>2176661</v>
      </c>
      <c r="E458" s="8" t="inlineStr">
        <is>
          <t>LACTOBACILLUS REUTERI PROTECTI</t>
        </is>
      </c>
    </row>
    <row r="459">
      <c r="D459" s="8" t="n">
        <v>2173995</v>
      </c>
      <c r="E459" s="8" t="inlineStr">
        <is>
          <t>LACTULOSA FC SOLUC ORAL 65%</t>
        </is>
      </c>
    </row>
    <row r="460">
      <c r="D460" s="8" t="n">
        <v>2083995</v>
      </c>
      <c r="E460" s="8" t="inlineStr">
        <is>
          <t>LACTULOSA SOL ORAL 65 - 66,7 %</t>
        </is>
      </c>
    </row>
    <row r="461">
      <c r="D461" s="8" t="n">
        <v>2174000</v>
      </c>
      <c r="E461" s="8" t="inlineStr">
        <is>
          <t>LAGRIMAS ARTIFICIALES  GOTAS</t>
        </is>
      </c>
    </row>
    <row r="462">
      <c r="D462" s="8" t="n">
        <v>2144060</v>
      </c>
      <c r="E462" s="8" t="inlineStr">
        <is>
          <t>LAMOTRIGINA CM 100 MG</t>
        </is>
      </c>
    </row>
    <row r="463">
      <c r="D463" s="8" t="n">
        <v>2144080</v>
      </c>
      <c r="E463" s="8" t="inlineStr">
        <is>
          <t>LAMOTRIGINA CM 200 MG</t>
        </is>
      </c>
    </row>
    <row r="464">
      <c r="D464" s="8" t="n">
        <v>2144070</v>
      </c>
      <c r="E464" s="8" t="inlineStr">
        <is>
          <t>LAMOTRIGINA CM 50 MG</t>
        </is>
      </c>
    </row>
    <row r="465">
      <c r="D465" s="8" t="n">
        <v>2161280</v>
      </c>
      <c r="E465" s="8" t="inlineStr">
        <is>
          <t>LANATOSIDO C AM 0,4 MG/2ML</t>
        </is>
      </c>
    </row>
    <row r="466">
      <c r="D466" s="8" t="n">
        <v>2164402</v>
      </c>
      <c r="E466" s="8" t="inlineStr">
        <is>
          <t>LANREOTIDE 120 MG ACC. PROLON</t>
        </is>
      </c>
    </row>
    <row r="467">
      <c r="D467" s="8" t="n">
        <v>2164401</v>
      </c>
      <c r="E467" s="8" t="inlineStr">
        <is>
          <t>LANREOTIDE 90 MG ACC. PROLONG</t>
        </is>
      </c>
    </row>
    <row r="468">
      <c r="D468" s="8" t="n">
        <v>2010815</v>
      </c>
      <c r="E468" s="8" t="inlineStr">
        <is>
          <t>LANSOPRAZOL 30 MG ( SOBRES CON</t>
        </is>
      </c>
    </row>
    <row r="469">
      <c r="D469" s="8" t="n">
        <v>2626300</v>
      </c>
      <c r="E469" s="8" t="inlineStr">
        <is>
          <t>LARONIDASA 2,9 MG/5 ML (ALDURA</t>
        </is>
      </c>
    </row>
    <row r="470">
      <c r="D470" s="8" t="n">
        <v>2174500</v>
      </c>
      <c r="E470" s="8" t="inlineStr">
        <is>
          <t>LATANOPROST 0,005% SOL. OFT.F</t>
        </is>
      </c>
    </row>
    <row r="471">
      <c r="D471" s="8" t="n">
        <v>2144100</v>
      </c>
      <c r="E471" s="8" t="inlineStr">
        <is>
          <t xml:space="preserve">L-DOPA/BENSERAZIDA CM 200/50 </t>
        </is>
      </c>
    </row>
    <row r="472">
      <c r="D472" s="8" t="n">
        <v>2144704</v>
      </c>
      <c r="E472" s="8" t="inlineStr">
        <is>
          <t>LEFLUNOMIDA CM 20 MG</t>
        </is>
      </c>
    </row>
    <row r="473">
      <c r="D473" s="8" t="n">
        <v>2193515</v>
      </c>
      <c r="E473" s="8" t="inlineStr">
        <is>
          <t>LENALIDOMIDA 10 MG CM</t>
        </is>
      </c>
    </row>
    <row r="474">
      <c r="D474" s="8" t="n">
        <v>2193516</v>
      </c>
      <c r="E474" s="8" t="inlineStr">
        <is>
          <t>LENALIDOMIDA 15 MG</t>
        </is>
      </c>
    </row>
    <row r="475">
      <c r="D475" s="8" t="n">
        <v>2193517</v>
      </c>
      <c r="E475" s="8" t="inlineStr">
        <is>
          <t>LENALIDOMIDA 25 MG CM</t>
        </is>
      </c>
    </row>
    <row r="476">
      <c r="D476" s="8" t="n">
        <v>2193590</v>
      </c>
      <c r="E476" s="8" t="inlineStr">
        <is>
          <t>LETROZOL 2,5 MG CM BIOEQUIVAL</t>
        </is>
      </c>
    </row>
    <row r="477">
      <c r="D477" s="8" t="n">
        <v>2190703</v>
      </c>
      <c r="E477" s="8" t="inlineStr">
        <is>
          <t>LEUCOVORINA 350 MG FA</t>
        </is>
      </c>
    </row>
    <row r="478">
      <c r="D478" s="8" t="n">
        <v>2190700</v>
      </c>
      <c r="E478" s="8" t="inlineStr">
        <is>
          <t>LEUCOVORINA 50 MG FA</t>
        </is>
      </c>
    </row>
    <row r="479">
      <c r="D479" s="8" t="n">
        <v>2190705</v>
      </c>
      <c r="E479" s="8" t="inlineStr">
        <is>
          <t>LEUCOVORINA CAP 15MG</t>
        </is>
      </c>
    </row>
    <row r="480">
      <c r="D480" s="8" t="n">
        <v>2190702</v>
      </c>
      <c r="E480" s="8" t="inlineStr">
        <is>
          <t>LEUCOVORINA FA 100 MG SOL. IN</t>
        </is>
      </c>
    </row>
    <row r="481">
      <c r="D481" s="8" t="n">
        <v>2144830</v>
      </c>
      <c r="E481" s="8" t="inlineStr">
        <is>
          <t>LEVETIRACETAM CM 500 MG</t>
        </is>
      </c>
    </row>
    <row r="482">
      <c r="D482" s="8" t="n">
        <v>2163165</v>
      </c>
      <c r="E482" s="8" t="inlineStr">
        <is>
          <t>LEVETIRACETAM FA 500 MG/5ML</t>
        </is>
      </c>
    </row>
    <row r="483">
      <c r="D483" s="8" t="n">
        <v>2174550</v>
      </c>
      <c r="E483" s="8" t="inlineStr">
        <is>
          <t>LEVETIRACETAM JBE 100MG/ML</t>
        </is>
      </c>
    </row>
    <row r="484">
      <c r="D484" s="8" t="n">
        <v>2163170</v>
      </c>
      <c r="E484" s="8" t="inlineStr">
        <is>
          <t>LEVOBUPIVACAINA 0,5 %  AM 5MG/</t>
        </is>
      </c>
    </row>
    <row r="485">
      <c r="D485" s="8" t="n">
        <v>2134600</v>
      </c>
      <c r="E485" s="8" t="inlineStr">
        <is>
          <t>LEVOFLOXACINO CM 500 MG</t>
        </is>
      </c>
    </row>
    <row r="486">
      <c r="D486" s="8" t="n">
        <v>2134650</v>
      </c>
      <c r="E486" s="8" t="inlineStr">
        <is>
          <t>LEVOFLOXACINO FA 500 MG/100ML</t>
        </is>
      </c>
    </row>
    <row r="487">
      <c r="D487" s="8" t="n">
        <v>2174150</v>
      </c>
      <c r="E487" s="8" t="inlineStr">
        <is>
          <t>LEVONORGESTREL 52 MG  (DIU: P</t>
        </is>
      </c>
    </row>
    <row r="488">
      <c r="D488" s="8" t="n">
        <v>2001380</v>
      </c>
      <c r="E488" s="8" t="inlineStr">
        <is>
          <t>LEVONORGESTREL CM 0,75 MG (CJ</t>
        </is>
      </c>
    </row>
    <row r="489">
      <c r="D489" s="8" t="n">
        <v>2001390</v>
      </c>
      <c r="E489" s="8" t="inlineStr">
        <is>
          <t>LEVONORGESTREL CM 1,5 MG</t>
        </is>
      </c>
    </row>
    <row r="490">
      <c r="D490" s="8" t="n">
        <v>2174730</v>
      </c>
      <c r="E490" s="8" t="inlineStr">
        <is>
          <t>LIDOCAINA 10 % SPRAY</t>
        </is>
      </c>
    </row>
    <row r="491">
      <c r="D491" s="8" t="n">
        <v>2174115</v>
      </c>
      <c r="E491" s="8" t="inlineStr">
        <is>
          <t>LIDOCAINA 5% PARCHES</t>
        </is>
      </c>
    </row>
    <row r="492">
      <c r="D492" s="8" t="n">
        <v>2174710</v>
      </c>
      <c r="E492" s="8" t="inlineStr">
        <is>
          <t>LIDOCAINA CLH 2% GEL FCO</t>
        </is>
      </c>
    </row>
    <row r="493">
      <c r="D493" s="8" t="n">
        <v>2163235</v>
      </c>
      <c r="E493" s="8" t="inlineStr">
        <is>
          <t>LIDOCAINA CLOR 2% AM 10ML</t>
        </is>
      </c>
    </row>
    <row r="494">
      <c r="D494" s="8" t="n">
        <v>2163230</v>
      </c>
      <c r="E494" s="8" t="inlineStr">
        <is>
          <t>LIDOCAINA CLOR 2% AM 5 ML</t>
        </is>
      </c>
    </row>
    <row r="495">
      <c r="D495" s="8" t="n">
        <v>2163225</v>
      </c>
      <c r="E495" s="8" t="inlineStr">
        <is>
          <t>LIDOCAINA CLOR 5%HIPERB AM 2M</t>
        </is>
      </c>
    </row>
    <row r="496">
      <c r="D496" s="8" t="n">
        <v>2174705</v>
      </c>
      <c r="E496" s="8" t="inlineStr">
        <is>
          <t>LIDOCAINA CLOR JGA 3% GEL 10M</t>
        </is>
      </c>
    </row>
    <row r="497">
      <c r="D497" s="8" t="n">
        <v>2134763</v>
      </c>
      <c r="E497" s="8" t="inlineStr">
        <is>
          <t>LINEZOLID CM 600 MG -  ZYVOX</t>
        </is>
      </c>
    </row>
    <row r="498">
      <c r="D498" s="8" t="n">
        <v>2134762</v>
      </c>
      <c r="E498" s="8" t="inlineStr">
        <is>
          <t>LINEZOLID IV BS 600 MG/300 ML</t>
        </is>
      </c>
    </row>
    <row r="499">
      <c r="D499" s="8" t="n">
        <v>2144710</v>
      </c>
      <c r="E499" s="8" t="inlineStr">
        <is>
          <t>LIOTIRONINA 20 MCG/L-TIROXINA</t>
        </is>
      </c>
    </row>
    <row r="500">
      <c r="D500" s="8" t="n">
        <v>2187802</v>
      </c>
      <c r="E500" s="8" t="inlineStr">
        <is>
          <t>LIPIDOS 20%   FA 100 ML</t>
        </is>
      </c>
    </row>
    <row r="501">
      <c r="D501" s="8" t="n">
        <v>2187801</v>
      </c>
      <c r="E501" s="8" t="inlineStr">
        <is>
          <t xml:space="preserve">LIPIDOS 20%   FA 500 ML  (CJ </t>
        </is>
      </c>
    </row>
    <row r="502">
      <c r="D502" s="8" t="n">
        <v>2141160</v>
      </c>
      <c r="E502" s="8" t="inlineStr">
        <is>
          <t>LITIO CARBONATO CM 300 MG</t>
        </is>
      </c>
    </row>
    <row r="503">
      <c r="D503" s="8" t="n">
        <v>2141165</v>
      </c>
      <c r="E503" s="8" t="inlineStr">
        <is>
          <t>LITIO CARBONATO CM LS 450   G</t>
        </is>
      </c>
    </row>
    <row r="504">
      <c r="D504" s="8" t="n">
        <v>2144900</v>
      </c>
      <c r="E504" s="8" t="inlineStr">
        <is>
          <t>LOPERAMIDA CLOR CM 2 MG</t>
        </is>
      </c>
    </row>
    <row r="505">
      <c r="D505" s="8" t="n">
        <v>2144910</v>
      </c>
      <c r="E505" s="8" t="inlineStr">
        <is>
          <t>LORATADINA CM 10 MG</t>
        </is>
      </c>
    </row>
    <row r="506">
      <c r="D506" s="8" t="n">
        <v>2123000</v>
      </c>
      <c r="E506" s="8" t="inlineStr">
        <is>
          <t>LORAZEPAM AM 4 MG/2 ML</t>
        </is>
      </c>
    </row>
    <row r="507">
      <c r="D507" s="8" t="n">
        <v>2123010</v>
      </c>
      <c r="E507" s="8" t="inlineStr">
        <is>
          <t>LORAZEPAM CM 2 MG</t>
        </is>
      </c>
    </row>
    <row r="508">
      <c r="D508" s="8" t="n">
        <v>2123020</v>
      </c>
      <c r="E508" s="8" t="inlineStr">
        <is>
          <t>LORAZEPAM SL CM 1 MG (AMPARAX</t>
        </is>
      </c>
    </row>
    <row r="509">
      <c r="D509" s="8" t="n">
        <v>2144920</v>
      </c>
      <c r="E509" s="8" t="inlineStr">
        <is>
          <t>LOSARTAN POTAS. CM 50 MG (CJX</t>
        </is>
      </c>
    </row>
    <row r="510">
      <c r="D510" s="8" t="n">
        <v>2144950</v>
      </c>
      <c r="E510" s="8" t="inlineStr">
        <is>
          <t>LOVASTATINA CM 20 MG (CJ X 28</t>
        </is>
      </c>
    </row>
    <row r="511">
      <c r="D511" s="8" t="n">
        <v>2620080</v>
      </c>
      <c r="E511" s="8" t="inlineStr">
        <is>
          <t>LRS ABATACEPT 125/ML JER ADM.</t>
        </is>
      </c>
    </row>
    <row r="512">
      <c r="D512" s="8" t="n">
        <v>2000010</v>
      </c>
      <c r="E512" s="8" t="inlineStr">
        <is>
          <t>LRS ADALIMUMAB 40MG/0,4ML HUMI</t>
        </is>
      </c>
    </row>
    <row r="513">
      <c r="D513" s="8" t="n">
        <v>2008320</v>
      </c>
      <c r="E513" s="8" t="inlineStr">
        <is>
          <t>LRS AGALSIDASA ALFA 1 MG/ML FA</t>
        </is>
      </c>
    </row>
    <row r="514">
      <c r="D514" s="8" t="n">
        <v>2008325</v>
      </c>
      <c r="E514" s="8" t="inlineStr">
        <is>
          <t>LRS AGALSIDASA BETA 35 MG</t>
        </is>
      </c>
    </row>
    <row r="515">
      <c r="D515" s="8" t="n">
        <v>2008330</v>
      </c>
      <c r="E515" s="8" t="inlineStr">
        <is>
          <t>LRS ALEMTUZUMAB 10 MG/ML SOL I</t>
        </is>
      </c>
    </row>
    <row r="516">
      <c r="D516" s="8" t="n">
        <v>2000090</v>
      </c>
      <c r="E516" s="8" t="inlineStr">
        <is>
          <t>LRS AMBRISENTAN CM 10 MG</t>
        </is>
      </c>
    </row>
    <row r="517">
      <c r="D517" s="8" t="n">
        <v>2001552</v>
      </c>
      <c r="E517" s="8" t="inlineStr">
        <is>
          <t>LRS BELIMUMAB FA 120 MG POLVO</t>
        </is>
      </c>
    </row>
    <row r="518">
      <c r="D518" s="8" t="n">
        <v>2140598</v>
      </c>
      <c r="E518" s="8" t="inlineStr">
        <is>
          <t>LRS BOSENTAN CM 125 MG</t>
        </is>
      </c>
    </row>
    <row r="519">
      <c r="D519" s="8" t="n">
        <v>2001590</v>
      </c>
      <c r="E519" s="8" t="inlineStr">
        <is>
          <t>LRS BOSENTAN CM 62,5 MG</t>
        </is>
      </c>
    </row>
    <row r="520">
      <c r="D520" s="8" t="n">
        <v>2001610</v>
      </c>
      <c r="E520" s="8" t="inlineStr">
        <is>
          <t>LRS CLADRIBINA CM 10 MG</t>
        </is>
      </c>
    </row>
    <row r="521">
      <c r="D521" s="8" t="n">
        <v>2001554</v>
      </c>
      <c r="E521" s="8" t="inlineStr">
        <is>
          <t>LRS ETANERCEPT JER 50 MG</t>
        </is>
      </c>
    </row>
    <row r="522">
      <c r="D522" s="8" t="n">
        <v>2142900</v>
      </c>
      <c r="E522" s="8" t="inlineStr">
        <is>
          <t>LRS FINGOLIMOD CP 0.5 MG</t>
        </is>
      </c>
    </row>
    <row r="523">
      <c r="D523" s="8" t="n">
        <v>2001700</v>
      </c>
      <c r="E523" s="8" t="inlineStr">
        <is>
          <t>LRS GOLIMUMAB 50 MG/0,5 ML INY</t>
        </is>
      </c>
    </row>
    <row r="524">
      <c r="D524" s="8" t="n">
        <v>2162690</v>
      </c>
      <c r="E524" s="8" t="inlineStr">
        <is>
          <t>LRS ILOPROST TROMET AM 10 MCG</t>
        </is>
      </c>
    </row>
    <row r="525">
      <c r="D525" s="8" t="n">
        <v>2006115</v>
      </c>
      <c r="E525" s="8" t="inlineStr">
        <is>
          <t>LRS IMATINIB 400 MG CP</t>
        </is>
      </c>
    </row>
    <row r="526">
      <c r="D526" s="8" t="n">
        <v>2006100</v>
      </c>
      <c r="E526" s="8" t="inlineStr">
        <is>
          <t>LRS INFLIXIMAB 100 MG LRS</t>
        </is>
      </c>
    </row>
    <row r="527">
      <c r="D527" s="8" t="n">
        <v>2002500</v>
      </c>
      <c r="E527" s="8" t="inlineStr">
        <is>
          <t>LRS INHIBIDOR C1 ESTERASA HUMA</t>
        </is>
      </c>
    </row>
    <row r="528">
      <c r="D528" s="8" t="n">
        <v>2006200</v>
      </c>
      <c r="E528" s="8" t="inlineStr">
        <is>
          <t>LRS INMUNOGLOBULINA LRS FA 10G</t>
        </is>
      </c>
    </row>
    <row r="529">
      <c r="D529" s="8" t="n">
        <v>2006205</v>
      </c>
      <c r="E529" s="8" t="inlineStr">
        <is>
          <t>LRS INMUNOGLOBULINA LRS FA 5 G</t>
        </is>
      </c>
    </row>
    <row r="530">
      <c r="D530" s="8" t="n">
        <v>2008350</v>
      </c>
      <c r="E530" s="8" t="inlineStr">
        <is>
          <t>LRS OCRELIZUMAB FA 300 MG</t>
        </is>
      </c>
    </row>
    <row r="531">
      <c r="D531" s="8" t="n">
        <v>2006430</v>
      </c>
      <c r="E531" s="8" t="inlineStr">
        <is>
          <t>LRS PALIVIZUMAB FA 100</t>
        </is>
      </c>
    </row>
    <row r="532">
      <c r="D532" s="8" t="n">
        <v>2008312</v>
      </c>
      <c r="E532" s="8" t="inlineStr">
        <is>
          <t>LRS RITUXIMAB FA 100 MG</t>
        </is>
      </c>
    </row>
    <row r="533">
      <c r="D533" s="8" t="n">
        <v>2008315</v>
      </c>
      <c r="E533" s="8" t="inlineStr">
        <is>
          <t>LRS RITUXIMAB FA 500 MG</t>
        </is>
      </c>
    </row>
    <row r="534">
      <c r="D534" s="8" t="n">
        <v>2198331</v>
      </c>
      <c r="E534" s="8" t="inlineStr">
        <is>
          <t>LRS RUXOLITINIB 20 MG</t>
        </is>
      </c>
    </row>
    <row r="535">
      <c r="D535" s="8" t="n">
        <v>2008360</v>
      </c>
      <c r="E535" s="8" t="inlineStr">
        <is>
          <t>LRS RUXOLITINIB 5 MG CM</t>
        </is>
      </c>
    </row>
    <row r="536">
      <c r="D536" s="8" t="n">
        <v>2008400</v>
      </c>
      <c r="E536" s="8" t="inlineStr">
        <is>
          <t>LRS SECUKINUMAB 150 MG/ML SOL</t>
        </is>
      </c>
    </row>
    <row r="537">
      <c r="D537" s="8" t="n">
        <v>2001701</v>
      </c>
      <c r="E537" s="8" t="inlineStr">
        <is>
          <t>LRS TOCILIZUMAB 162 MG/0.9 ML</t>
        </is>
      </c>
    </row>
    <row r="538">
      <c r="D538" s="8" t="n">
        <v>2008500</v>
      </c>
      <c r="E538" s="8" t="inlineStr">
        <is>
          <t>LRS TOFACITINIB CM 5 MG XELJ</t>
        </is>
      </c>
    </row>
    <row r="539">
      <c r="D539" s="8" t="n">
        <v>2198345</v>
      </c>
      <c r="E539" s="8" t="inlineStr">
        <is>
          <t>LRS TRASTUZUMAB FA 440 MG (HER</t>
        </is>
      </c>
    </row>
    <row r="540">
      <c r="D540" s="8" t="n">
        <v>2198347</v>
      </c>
      <c r="E540" s="8" t="inlineStr">
        <is>
          <t>LRS TRASTUZUMAB SC 600 MG HERC</t>
        </is>
      </c>
    </row>
    <row r="541">
      <c r="D541" s="8" t="n">
        <v>2144800</v>
      </c>
      <c r="E541" s="8" t="inlineStr">
        <is>
          <t>L-TIROXINA CM 100 UG (CJX1000</t>
        </is>
      </c>
    </row>
    <row r="542">
      <c r="D542" s="8" t="n">
        <v>2144811</v>
      </c>
      <c r="E542" s="8" t="inlineStr">
        <is>
          <t>L-TIROXINA CM 25 MCG</t>
        </is>
      </c>
    </row>
    <row r="543">
      <c r="D543" s="8" t="n">
        <v>2144810</v>
      </c>
      <c r="E543" s="8" t="inlineStr">
        <is>
          <t>L-TIROXINA CM 50 UG</t>
        </is>
      </c>
    </row>
    <row r="544">
      <c r="D544" s="8" t="n">
        <v>2106300</v>
      </c>
      <c r="E544" s="8" t="inlineStr">
        <is>
          <t>LUGOL 5% SOLUCION</t>
        </is>
      </c>
    </row>
    <row r="545">
      <c r="D545" s="8" t="n">
        <v>2163540</v>
      </c>
      <c r="E545" s="8" t="inlineStr">
        <is>
          <t>MAGNESIO SULFATO 25% AM 5 ML</t>
        </is>
      </c>
    </row>
    <row r="546">
      <c r="D546" s="8" t="n">
        <v>2134910</v>
      </c>
      <c r="E546" s="8" t="inlineStr">
        <is>
          <t>MEDROXIPROGESTERONA CM 10 MG</t>
        </is>
      </c>
    </row>
    <row r="547">
      <c r="D547" s="8" t="n">
        <v>2145090</v>
      </c>
      <c r="E547" s="8" t="inlineStr">
        <is>
          <t>MELATONINA CM 3 MG</t>
        </is>
      </c>
    </row>
    <row r="548">
      <c r="D548" s="8" t="n">
        <v>2195105</v>
      </c>
      <c r="E548" s="8" t="inlineStr">
        <is>
          <t>MELFALAN CM 2 MG  BIOEQUIVAL</t>
        </is>
      </c>
    </row>
    <row r="549">
      <c r="D549" s="8" t="n">
        <v>2195100</v>
      </c>
      <c r="E549" s="8" t="inlineStr">
        <is>
          <t>MELFALAN FA 50 MG</t>
        </is>
      </c>
    </row>
    <row r="550">
      <c r="D550" s="8" t="n">
        <v>2142140</v>
      </c>
      <c r="E550" s="8" t="inlineStr">
        <is>
          <t>MEMANTINA CM 10 MG</t>
        </is>
      </c>
    </row>
    <row r="551">
      <c r="D551" s="8" t="n">
        <v>2142145</v>
      </c>
      <c r="E551" s="8" t="inlineStr">
        <is>
          <t>MEMANTINA CM 20 MG</t>
        </is>
      </c>
    </row>
    <row r="552">
      <c r="D552" s="8" t="n">
        <v>2195130</v>
      </c>
      <c r="E552" s="8" t="inlineStr">
        <is>
          <t>MERCAPTOPURINA CM 50 MG BIOEQ</t>
        </is>
      </c>
    </row>
    <row r="553">
      <c r="D553" s="8" t="n">
        <v>2134951</v>
      </c>
      <c r="E553" s="8" t="inlineStr">
        <is>
          <t>MEROPENEM 1000 MG</t>
        </is>
      </c>
    </row>
    <row r="554">
      <c r="D554" s="8" t="n">
        <v>2134950</v>
      </c>
      <c r="E554" s="8" t="inlineStr">
        <is>
          <t>MEROPENEM 500 MG</t>
        </is>
      </c>
    </row>
    <row r="555">
      <c r="D555" s="8" t="n">
        <v>2142154</v>
      </c>
      <c r="E555" s="8" t="inlineStr">
        <is>
          <t>MESALAZINA CM 500 MG</t>
        </is>
      </c>
    </row>
    <row r="556">
      <c r="D556" s="8" t="n">
        <v>2175200</v>
      </c>
      <c r="E556" s="8" t="inlineStr">
        <is>
          <t>MESALAZINA SUP 1 GRAMO</t>
        </is>
      </c>
    </row>
    <row r="557">
      <c r="D557" s="8" t="n">
        <v>2193600</v>
      </c>
      <c r="E557" s="8" t="inlineStr">
        <is>
          <t>MESNA AM 400 MG SOL. INYECTAB</t>
        </is>
      </c>
    </row>
    <row r="558">
      <c r="D558" s="8" t="n">
        <v>2163620</v>
      </c>
      <c r="E558" s="8" t="inlineStr">
        <is>
          <t>METACOLINA FA 100 MG POLVO P/S</t>
        </is>
      </c>
    </row>
    <row r="559">
      <c r="D559" s="8" t="n">
        <v>2125110</v>
      </c>
      <c r="E559" s="8" t="inlineStr">
        <is>
          <t>METADONA AM 10 MG/2ML</t>
        </is>
      </c>
    </row>
    <row r="560">
      <c r="D560" s="8" t="n">
        <v>2125100</v>
      </c>
      <c r="E560" s="8" t="inlineStr">
        <is>
          <t>METADONA CAP 10 MG</t>
        </is>
      </c>
    </row>
    <row r="561">
      <c r="D561" s="8" t="n">
        <v>2141910</v>
      </c>
      <c r="E561" s="8" t="inlineStr">
        <is>
          <t>METAMIZOL CM 300 MG.</t>
        </is>
      </c>
    </row>
    <row r="562">
      <c r="D562" s="8" t="n">
        <v>2161400</v>
      </c>
      <c r="E562" s="8" t="inlineStr">
        <is>
          <t>METAMIZOL SODICO AM 1GR/2ML (</t>
        </is>
      </c>
    </row>
    <row r="563">
      <c r="D563" s="8" t="n">
        <v>2172200</v>
      </c>
      <c r="E563" s="8" t="inlineStr">
        <is>
          <t>METAMIZOL SODICO SUP 250 MG (</t>
        </is>
      </c>
    </row>
    <row r="564">
      <c r="D564" s="8" t="n">
        <v>2145135</v>
      </c>
      <c r="E564" s="8" t="inlineStr">
        <is>
          <t>METFORMINA CLH RETARD CM 850</t>
        </is>
      </c>
    </row>
    <row r="565">
      <c r="D565" s="8" t="n">
        <v>2145140</v>
      </c>
      <c r="E565" s="8" t="inlineStr">
        <is>
          <t>METILDOPA CM 250 MG (CJX1000)</t>
        </is>
      </c>
    </row>
    <row r="566">
      <c r="D566" s="8" t="n">
        <v>2125000</v>
      </c>
      <c r="E566" s="8" t="inlineStr">
        <is>
          <t>METILFENIDATO CM 10 MG (CJX30</t>
        </is>
      </c>
    </row>
    <row r="567">
      <c r="D567" s="8" t="n">
        <v>2125010</v>
      </c>
      <c r="E567" s="8" t="inlineStr">
        <is>
          <t>METILFENIDATO CM ACC PROL 10M</t>
        </is>
      </c>
    </row>
    <row r="568">
      <c r="D568" s="8" t="n">
        <v>2125020</v>
      </c>
      <c r="E568" s="8" t="inlineStr">
        <is>
          <t>METILFENIDATO CM ACC PROL 20M</t>
        </is>
      </c>
    </row>
    <row r="569">
      <c r="D569" s="8" t="n">
        <v>2135000</v>
      </c>
      <c r="E569" s="8" t="inlineStr">
        <is>
          <t>METILPREDNISOL SUC FA 125MG/2</t>
        </is>
      </c>
    </row>
    <row r="570">
      <c r="D570" s="8" t="n">
        <v>2135020</v>
      </c>
      <c r="E570" s="8" t="inlineStr">
        <is>
          <t>METILPREDNISOL SUC FA 1GR/16M</t>
        </is>
      </c>
    </row>
    <row r="571">
      <c r="D571" s="8" t="n">
        <v>2135010</v>
      </c>
      <c r="E571" s="8" t="inlineStr">
        <is>
          <t>METILPREDNISOL SUC FA 500MG/8</t>
        </is>
      </c>
    </row>
    <row r="572">
      <c r="D572" s="8" t="n">
        <v>2136905</v>
      </c>
      <c r="E572" s="8" t="inlineStr">
        <is>
          <t>METILPREDNISOLONA ACET 40 MG F</t>
        </is>
      </c>
    </row>
    <row r="573">
      <c r="D573" s="8" t="n">
        <v>2135035</v>
      </c>
      <c r="E573" s="8" t="inlineStr">
        <is>
          <t>METILPREDNISOLONA CM 16 MG</t>
        </is>
      </c>
    </row>
    <row r="574">
      <c r="D574" s="8" t="n">
        <v>2135030</v>
      </c>
      <c r="E574" s="8" t="inlineStr">
        <is>
          <t>METILPREDNISOLONA CM 4 MG (ME</t>
        </is>
      </c>
    </row>
    <row r="575">
      <c r="D575" s="8" t="n">
        <v>2085145</v>
      </c>
      <c r="E575" s="8" t="inlineStr">
        <is>
          <t>METOCLOPRAMIDA 10 MG CM PAD</t>
        </is>
      </c>
    </row>
    <row r="576">
      <c r="D576" s="8" t="n">
        <v>2163660</v>
      </c>
      <c r="E576" s="8" t="inlineStr">
        <is>
          <t>METOCLOPRAMIDA AM 10MG/2ML PA</t>
        </is>
      </c>
    </row>
    <row r="577">
      <c r="D577" s="8" t="n">
        <v>2145147</v>
      </c>
      <c r="E577" s="8" t="inlineStr">
        <is>
          <t>METOLAZONA CM 2,5 MG (CJX20)</t>
        </is>
      </c>
    </row>
    <row r="578">
      <c r="D578" s="8" t="n">
        <v>2195160</v>
      </c>
      <c r="E578" s="8" t="inlineStr">
        <is>
          <t>METOTREXATO CM 2,5 MG BLISTER</t>
        </is>
      </c>
    </row>
    <row r="579">
      <c r="D579" s="8" t="n">
        <v>2193672</v>
      </c>
      <c r="E579" s="8" t="inlineStr">
        <is>
          <t>METOTREXATO FA 50 MG SOL. IT</t>
        </is>
      </c>
    </row>
    <row r="580">
      <c r="D580" s="8" t="n">
        <v>2193674</v>
      </c>
      <c r="E580" s="8" t="inlineStr">
        <is>
          <t>METOTREXATO FA 500 MG SOL. IN</t>
        </is>
      </c>
    </row>
    <row r="581">
      <c r="D581" s="8" t="n">
        <v>2145155</v>
      </c>
      <c r="E581" s="8" t="inlineStr">
        <is>
          <t>METRONIDAZOL CM 500 MG</t>
        </is>
      </c>
    </row>
    <row r="582">
      <c r="D582" s="8" t="n">
        <v>2163665</v>
      </c>
      <c r="E582" s="8" t="inlineStr">
        <is>
          <t>METRONIDAZOL FA 500MG/ 100ML</t>
        </is>
      </c>
    </row>
    <row r="583">
      <c r="D583" s="8" t="n">
        <v>2175160</v>
      </c>
      <c r="E583" s="8" t="inlineStr">
        <is>
          <t xml:space="preserve">METRONIDAZOL GEL 0,75% TU 30 </t>
        </is>
      </c>
    </row>
    <row r="584">
      <c r="D584" s="8" t="n">
        <v>2175150</v>
      </c>
      <c r="E584" s="8" t="inlineStr">
        <is>
          <t>METRONIDAZOL OVULO  500 MG</t>
        </is>
      </c>
    </row>
    <row r="585">
      <c r="D585" s="8" t="n">
        <v>2175155</v>
      </c>
      <c r="E585" s="8" t="inlineStr">
        <is>
          <t>METRONIDAZOL SUPOSIT 1GR (CJX</t>
        </is>
      </c>
    </row>
    <row r="586">
      <c r="D586" s="8" t="n">
        <v>2145196</v>
      </c>
      <c r="E586" s="8" t="inlineStr">
        <is>
          <t>MICOFENOLIC  AC. CM 180 MG  (</t>
        </is>
      </c>
    </row>
    <row r="587">
      <c r="D587" s="8" t="n">
        <v>2145195</v>
      </c>
      <c r="E587" s="8" t="inlineStr">
        <is>
          <t>MICOFENOLIC AC.CM 360 MG (MYF</t>
        </is>
      </c>
    </row>
    <row r="588">
      <c r="D588" s="8" t="n">
        <v>2125210</v>
      </c>
      <c r="E588" s="8" t="inlineStr">
        <is>
          <t>MIDAZOLAM AM 15MG/3ML</t>
        </is>
      </c>
    </row>
    <row r="589">
      <c r="D589" s="8" t="n">
        <v>2125200</v>
      </c>
      <c r="E589" s="8" t="inlineStr">
        <is>
          <t>MIDAZOLAM AM 5 MG/ 1 ML</t>
        </is>
      </c>
    </row>
    <row r="590">
      <c r="D590" s="8" t="n">
        <v>2125220</v>
      </c>
      <c r="E590" s="8" t="inlineStr">
        <is>
          <t>MIDAZOLAM AM 50 MG</t>
        </is>
      </c>
    </row>
    <row r="591">
      <c r="D591" s="8" t="n">
        <v>2163720</v>
      </c>
      <c r="E591" s="8" t="inlineStr">
        <is>
          <t>MILRINONA FA 1MG/ML 10 ML IV</t>
        </is>
      </c>
    </row>
    <row r="592">
      <c r="D592" s="8" t="n">
        <v>2145199</v>
      </c>
      <c r="E592" s="8" t="inlineStr">
        <is>
          <t>MIRTAZAPINA CM 15 MG</t>
        </is>
      </c>
    </row>
    <row r="593">
      <c r="D593" s="8" t="n">
        <v>2145197</v>
      </c>
      <c r="E593" s="8" t="inlineStr">
        <is>
          <t>MIRTAZAPINA CM 30 MG</t>
        </is>
      </c>
    </row>
    <row r="594">
      <c r="D594" s="8" t="n">
        <v>2145300</v>
      </c>
      <c r="E594" s="8" t="inlineStr">
        <is>
          <t>MISOPROSTOL CM 200 MCG (CJX14</t>
        </is>
      </c>
    </row>
    <row r="595">
      <c r="D595" s="8" t="n">
        <v>2193800</v>
      </c>
      <c r="E595" s="8" t="inlineStr">
        <is>
          <t>MITOMICINA  FA 20 MG</t>
        </is>
      </c>
    </row>
    <row r="596">
      <c r="D596" s="8" t="n">
        <v>2195200</v>
      </c>
      <c r="E596" s="8" t="inlineStr">
        <is>
          <t>MITOXANTRONA FA 20 MG SOL. IN</t>
        </is>
      </c>
    </row>
    <row r="597">
      <c r="D597" s="8" t="n">
        <v>2175400</v>
      </c>
      <c r="E597" s="8" t="inlineStr">
        <is>
          <t>MOMETASONA FUROATO INH NASAL</t>
        </is>
      </c>
    </row>
    <row r="598">
      <c r="D598" s="8" t="n">
        <v>2125305</v>
      </c>
      <c r="E598" s="8" t="inlineStr">
        <is>
          <t>MORFINA CLORH AM 1% (10MG/1ML)</t>
        </is>
      </c>
    </row>
    <row r="599">
      <c r="D599" s="8" t="n">
        <v>2125310</v>
      </c>
      <c r="E599" s="8" t="inlineStr">
        <is>
          <t>MORFINA CLORH AM 2% (20MG/1ML</t>
        </is>
      </c>
    </row>
    <row r="600">
      <c r="D600" s="8" t="n">
        <v>2125350</v>
      </c>
      <c r="E600" s="8" t="inlineStr">
        <is>
          <t>MORFINA RETARD. CAP 30MG</t>
        </is>
      </c>
    </row>
    <row r="601">
      <c r="D601" s="8" t="n">
        <v>2125330</v>
      </c>
      <c r="E601" s="124" t="inlineStr">
        <is>
          <t>MORFINA SULFATO 2% GOTAS 20ml (1ml=16gts)</t>
        </is>
      </c>
    </row>
    <row r="602">
      <c r="D602" s="8" t="n">
        <v>2135050</v>
      </c>
      <c r="E602" s="8" t="inlineStr">
        <is>
          <t>MOXIFLOXACINO CM 400 MG</t>
        </is>
      </c>
    </row>
    <row r="603">
      <c r="D603" s="8" t="n">
        <v>2135051</v>
      </c>
      <c r="E603" s="8" t="inlineStr">
        <is>
          <t>MOXIFLOXACINO FA 400 MG</t>
        </is>
      </c>
    </row>
    <row r="604">
      <c r="D604" s="8" t="n">
        <v>2135300</v>
      </c>
      <c r="E604" s="8" t="inlineStr">
        <is>
          <t>MUPIROCINA  UNG. DERM.  2% X</t>
        </is>
      </c>
    </row>
    <row r="605">
      <c r="D605" s="8" t="n">
        <v>2154250</v>
      </c>
      <c r="E605" s="8" t="inlineStr">
        <is>
          <t>N-ACETILCISTEINA POLVO</t>
        </is>
      </c>
    </row>
    <row r="606">
      <c r="D606" s="8" t="n">
        <v>2125400</v>
      </c>
      <c r="E606" s="8" t="inlineStr">
        <is>
          <t>NALOXONA CLORH AM O,4 MG/ ML</t>
        </is>
      </c>
    </row>
    <row r="607">
      <c r="D607" s="8" t="n">
        <v>2628800</v>
      </c>
      <c r="E607" s="8" t="inlineStr">
        <is>
          <t>NATALIZUMAB FA 300 MG/15 ML (</t>
        </is>
      </c>
    </row>
    <row r="608">
      <c r="D608" s="8" t="n">
        <v>2080285</v>
      </c>
      <c r="E608" s="8" t="inlineStr">
        <is>
          <t>N-BUTILESCOPOLAMINA/METAMIZOL</t>
        </is>
      </c>
    </row>
    <row r="609">
      <c r="D609" s="8" t="n">
        <v>2106700</v>
      </c>
      <c r="E609" s="8" t="inlineStr">
        <is>
          <t>NEOMICINA 0,5% POMADA</t>
        </is>
      </c>
    </row>
    <row r="610">
      <c r="D610" s="8" t="n">
        <v>2135581</v>
      </c>
      <c r="E610" s="8" t="inlineStr">
        <is>
          <t>NEOMICINA SULF CM 500 MG</t>
        </is>
      </c>
    </row>
    <row r="611">
      <c r="D611" s="8" t="n">
        <v>2163980</v>
      </c>
      <c r="E611" s="8" t="inlineStr">
        <is>
          <t>NEOSTIGMINA METIL AM 0,5MG/1M</t>
        </is>
      </c>
    </row>
    <row r="612">
      <c r="D612" s="8" t="n">
        <v>2195205</v>
      </c>
      <c r="E612" s="8" t="inlineStr">
        <is>
          <t>NETUPITANT/PALONOSETRON</t>
        </is>
      </c>
    </row>
    <row r="613">
      <c r="D613" s="8" t="n">
        <v>2145583</v>
      </c>
      <c r="E613" s="8" t="inlineStr">
        <is>
          <t>NIFEDIPINO CP 10 MG</t>
        </is>
      </c>
    </row>
    <row r="614">
      <c r="D614" s="8" t="n">
        <v>2195202</v>
      </c>
      <c r="E614" s="8" t="inlineStr">
        <is>
          <t>NILOTINIB 150 MG CAP BIOEQUIV</t>
        </is>
      </c>
    </row>
    <row r="615">
      <c r="D615" s="8" t="n">
        <v>2195203</v>
      </c>
      <c r="E615" s="8" t="inlineStr">
        <is>
          <t>NILOTINIB 200 MG CAP BIOEQUIV</t>
        </is>
      </c>
    </row>
    <row r="616">
      <c r="D616" s="8" t="n">
        <v>2145587</v>
      </c>
      <c r="E616" s="8" t="inlineStr">
        <is>
          <t>NIMODIPINO CM 30 MG (NIMOTOP)</t>
        </is>
      </c>
    </row>
    <row r="617">
      <c r="D617" s="8" t="n">
        <v>2135620</v>
      </c>
      <c r="E617" s="8" t="inlineStr">
        <is>
          <t>NIRMARELVIR/RITONAVIR 150/100</t>
        </is>
      </c>
    </row>
    <row r="618">
      <c r="D618" s="8" t="n">
        <v>2135660</v>
      </c>
      <c r="E618" s="8" t="inlineStr">
        <is>
          <t xml:space="preserve">NISTATINA 100.000 UI/ML SUSP </t>
        </is>
      </c>
    </row>
    <row r="619">
      <c r="D619" s="8" t="n">
        <v>2135655</v>
      </c>
      <c r="E619" s="8" t="inlineStr">
        <is>
          <t>NISTATINA CM VAG.100.000 U.I.</t>
        </is>
      </c>
    </row>
    <row r="620">
      <c r="D620" s="8" t="n">
        <v>2135662</v>
      </c>
      <c r="E620" s="8" t="inlineStr">
        <is>
          <t xml:space="preserve">NISTATINA TU 100.000 U.I./GR </t>
        </is>
      </c>
    </row>
    <row r="621">
      <c r="D621" s="8" t="n">
        <v>2626350</v>
      </c>
      <c r="E621" s="8" t="inlineStr">
        <is>
          <t>NITISINONE CP 10 MG</t>
        </is>
      </c>
    </row>
    <row r="622">
      <c r="D622" s="8" t="n">
        <v>2626348</v>
      </c>
      <c r="E622" s="8" t="inlineStr">
        <is>
          <t>NITISINONE CP 5 MG</t>
        </is>
      </c>
    </row>
    <row r="623">
      <c r="D623" s="8" t="n">
        <v>2145590</v>
      </c>
      <c r="E623" s="8" t="inlineStr">
        <is>
          <t>NITRENDIPINO CM 20MG</t>
        </is>
      </c>
    </row>
    <row r="624">
      <c r="D624" s="8" t="n">
        <v>2106915</v>
      </c>
      <c r="E624" s="8" t="inlineStr">
        <is>
          <t>NITROFURAN MACROCRI CP 15  MG</t>
        </is>
      </c>
    </row>
    <row r="625">
      <c r="D625" s="8" t="n">
        <v>2106925</v>
      </c>
      <c r="E625" s="8" t="inlineStr">
        <is>
          <t>NITROFURAN MACROCRI CP 25 MG</t>
        </is>
      </c>
    </row>
    <row r="626">
      <c r="D626" s="8" t="n">
        <v>2106950</v>
      </c>
      <c r="E626" s="8" t="inlineStr">
        <is>
          <t>NITROFURAN MACROCRI CP 50 MG</t>
        </is>
      </c>
    </row>
    <row r="627">
      <c r="D627" s="8" t="n">
        <v>2145603</v>
      </c>
      <c r="E627" s="8" t="inlineStr">
        <is>
          <t>NITROFURANT. MACROCRIST. CP 50</t>
        </is>
      </c>
    </row>
    <row r="628">
      <c r="D628" s="8" t="n">
        <v>2145602</v>
      </c>
      <c r="E628" s="8" t="inlineStr">
        <is>
          <t>NITROFURANT.MACROCRIST. CP 50</t>
        </is>
      </c>
    </row>
    <row r="629">
      <c r="D629" s="8" t="n">
        <v>2145601</v>
      </c>
      <c r="E629" s="8" t="inlineStr">
        <is>
          <t>NITROFURANT.MACROCRIST.CM 100</t>
        </is>
      </c>
    </row>
    <row r="630">
      <c r="D630" s="8" t="n">
        <v>2163596</v>
      </c>
      <c r="E630" s="8" t="inlineStr">
        <is>
          <t>NITROGLICERINA AM 50MG/10 ML</t>
        </is>
      </c>
    </row>
    <row r="631">
      <c r="D631" s="8" t="n">
        <v>2145610</v>
      </c>
      <c r="E631" s="8" t="inlineStr">
        <is>
          <t>NITROGLICERINA CM O,6MG  (X10</t>
        </is>
      </c>
    </row>
    <row r="632">
      <c r="D632" s="8" t="n">
        <v>2161891</v>
      </c>
      <c r="E632" s="8" t="inlineStr">
        <is>
          <t>NOREPINEFRINA AM 4 MG/ 4ML</t>
        </is>
      </c>
    </row>
    <row r="633">
      <c r="D633" s="8" t="n">
        <v>2145800</v>
      </c>
      <c r="E633" s="8" t="inlineStr">
        <is>
          <t>NOSCAPINA CM 20 MG ( CJX1000)</t>
        </is>
      </c>
    </row>
    <row r="634">
      <c r="D634" s="8" t="n">
        <v>2175751</v>
      </c>
      <c r="E634" s="8" t="inlineStr">
        <is>
          <t>NOSCAPINA JBE 5 MG/5ML FC100M</t>
        </is>
      </c>
    </row>
    <row r="635">
      <c r="D635" s="8" t="n">
        <v>2170001</v>
      </c>
      <c r="E635" s="8" t="inlineStr">
        <is>
          <t>NOVOBASE II X 100 GR</t>
        </is>
      </c>
    </row>
    <row r="636">
      <c r="D636" s="8" t="n">
        <v>2164400</v>
      </c>
      <c r="E636" s="8" t="inlineStr">
        <is>
          <t>OCTREOTIDA AM 0,1 MG/1ML (CJX</t>
        </is>
      </c>
    </row>
    <row r="637">
      <c r="D637" s="8" t="n">
        <v>2145818</v>
      </c>
      <c r="E637" s="8" t="inlineStr">
        <is>
          <t>OLANZAPINA 10 MG CM</t>
        </is>
      </c>
    </row>
    <row r="638">
      <c r="D638" s="8" t="n">
        <v>2145816</v>
      </c>
      <c r="E638" s="8" t="inlineStr">
        <is>
          <t>OLANZAPINA CM 5 MG</t>
        </is>
      </c>
    </row>
    <row r="639">
      <c r="D639" s="8" t="n">
        <v>2164500</v>
      </c>
      <c r="E639" s="8" t="inlineStr">
        <is>
          <t>OLIGOELEMENTOS AM 2 ML</t>
        </is>
      </c>
    </row>
    <row r="640">
      <c r="D640" s="8" t="n">
        <v>2164550</v>
      </c>
      <c r="E640" s="8" t="inlineStr">
        <is>
          <t>OLIGOELEMENTOS PEDIATRICOS AM</t>
        </is>
      </c>
    </row>
    <row r="641">
      <c r="D641" s="8" t="n">
        <v>2175660</v>
      </c>
      <c r="E641" s="8" t="inlineStr">
        <is>
          <t>OLOPATADINA SOL. OFT. 0,2%</t>
        </is>
      </c>
    </row>
    <row r="642">
      <c r="D642" s="8" t="n">
        <v>2145820</v>
      </c>
      <c r="E642" s="8" t="inlineStr">
        <is>
          <t>OMEPRAZOL CM 20 MG</t>
        </is>
      </c>
    </row>
    <row r="643">
      <c r="D643" s="8" t="n">
        <v>2164527</v>
      </c>
      <c r="E643" s="8" t="inlineStr">
        <is>
          <t>OMEPRAZOL FA 40MG IV</t>
        </is>
      </c>
    </row>
    <row r="644">
      <c r="D644" s="8" t="n">
        <v>2106960</v>
      </c>
      <c r="E644" s="8" t="inlineStr">
        <is>
          <t>OMEPRAZOL SUSP ORAL 2MG/ML</t>
        </is>
      </c>
    </row>
    <row r="645">
      <c r="D645" s="8" t="n">
        <v>2164520</v>
      </c>
      <c r="E645" s="8" t="inlineStr">
        <is>
          <t>ONDANSETRON AM 4MG/2ML</t>
        </is>
      </c>
    </row>
    <row r="646">
      <c r="D646" s="8" t="n">
        <v>2164525</v>
      </c>
      <c r="E646" s="8" t="inlineStr">
        <is>
          <t>ONDANSETRON AM 8MG/4ML</t>
        </is>
      </c>
    </row>
    <row r="647">
      <c r="D647" s="8" t="n">
        <v>2145850</v>
      </c>
      <c r="E647" s="8" t="inlineStr">
        <is>
          <t>ONDANSETRON CM  4 MG</t>
        </is>
      </c>
    </row>
    <row r="648">
      <c r="D648" s="8" t="n">
        <v>2145852</v>
      </c>
      <c r="E648" s="8" t="inlineStr">
        <is>
          <t>ONDANSETRON CM 8 MG</t>
        </is>
      </c>
    </row>
    <row r="649">
      <c r="D649" s="8" t="n">
        <v>2135700</v>
      </c>
      <c r="E649" s="8" t="inlineStr">
        <is>
          <t xml:space="preserve">OSELTAMIVIR CP 75 MG * 10 CP </t>
        </is>
      </c>
    </row>
    <row r="650">
      <c r="D650" s="8" t="n">
        <v>2135710</v>
      </c>
      <c r="E650" s="8" t="inlineStr">
        <is>
          <t>OSELTAMIVIR JBE 12MG/1ML FC 7</t>
        </is>
      </c>
    </row>
    <row r="651">
      <c r="D651" s="8" t="n">
        <v>2195210</v>
      </c>
      <c r="E651" s="8" t="inlineStr">
        <is>
          <t>OXALIPLATINO 100 MG FA SOLUCI</t>
        </is>
      </c>
    </row>
    <row r="652">
      <c r="D652" s="8" t="n">
        <v>2145860</v>
      </c>
      <c r="E652" s="8" t="inlineStr">
        <is>
          <t>OXCARBAMAZEPINA CM 300 MG</t>
        </is>
      </c>
    </row>
    <row r="653">
      <c r="D653" s="8" t="n">
        <v>2145900</v>
      </c>
      <c r="E653" s="8" t="inlineStr">
        <is>
          <t>OXIBUTININA CLH CM 5MG(URAZOL</t>
        </is>
      </c>
    </row>
    <row r="654">
      <c r="D654" s="8" t="n">
        <v>2161985</v>
      </c>
      <c r="E654" s="8" t="inlineStr">
        <is>
          <t>OXIMA REACT COLINESTER AM 250</t>
        </is>
      </c>
    </row>
    <row r="655">
      <c r="D655" s="8" t="n">
        <v>2626425</v>
      </c>
      <c r="E655" s="8" t="inlineStr">
        <is>
          <t>OXITOCINA SINTET AM 5 UI/1</t>
        </is>
      </c>
    </row>
    <row r="656">
      <c r="D656" s="8" t="n">
        <v>2198307</v>
      </c>
      <c r="E656" s="8" t="inlineStr">
        <is>
          <t>PACLITAXEL FA 300MG SOLUCION</t>
        </is>
      </c>
    </row>
    <row r="657">
      <c r="D657" s="8" t="n">
        <v>2164534</v>
      </c>
      <c r="E657" s="8" t="inlineStr">
        <is>
          <t>PALIPERIDONA JERINGA 100 MG</t>
        </is>
      </c>
    </row>
    <row r="658">
      <c r="D658" s="8" t="n">
        <v>2164535</v>
      </c>
      <c r="E658" s="8" t="inlineStr">
        <is>
          <t>PALIPERIDONA JERINGA 150 MG</t>
        </is>
      </c>
    </row>
    <row r="659">
      <c r="D659" s="8" t="n">
        <v>2165041</v>
      </c>
      <c r="E659" s="8" t="inlineStr">
        <is>
          <t>PALIPERIDONA JERINGA 175MG</t>
        </is>
      </c>
    </row>
    <row r="660">
      <c r="D660" s="8" t="n">
        <v>2165051</v>
      </c>
      <c r="E660" s="8" t="inlineStr">
        <is>
          <t>PALIPERIDONA JERINGA 263MG</t>
        </is>
      </c>
    </row>
    <row r="661">
      <c r="D661" s="8" t="n">
        <v>2164532</v>
      </c>
      <c r="E661" s="8" t="inlineStr">
        <is>
          <t>PALIPERIDONA JERINGA 50 MG</t>
        </is>
      </c>
    </row>
    <row r="662">
      <c r="D662" s="8" t="n">
        <v>2164533</v>
      </c>
      <c r="E662" s="8" t="inlineStr">
        <is>
          <t>PALIPERIDONA JERINGA 75 MG</t>
        </is>
      </c>
    </row>
    <row r="663">
      <c r="D663" s="8" t="n">
        <v>2626431</v>
      </c>
      <c r="E663" s="8" t="inlineStr">
        <is>
          <t>PALIVIZUMAB FA 50MG (SYNAGIS)</t>
        </is>
      </c>
    </row>
    <row r="664">
      <c r="D664" s="8" t="n">
        <v>2164530</v>
      </c>
      <c r="E664" s="8" t="inlineStr">
        <is>
          <t>PAPAVERINA CLORH AM 80 MG/2ML</t>
        </is>
      </c>
    </row>
    <row r="665">
      <c r="D665" s="8" t="n">
        <v>2145920</v>
      </c>
      <c r="E665" s="8" t="inlineStr">
        <is>
          <t>PARACETAMOL CM 500 MG</t>
        </is>
      </c>
    </row>
    <row r="666">
      <c r="D666" s="8" t="n">
        <v>2145910</v>
      </c>
      <c r="E666" s="8" t="inlineStr">
        <is>
          <t>PARACETAMOL CM 80 MG (CJX100</t>
        </is>
      </c>
    </row>
    <row r="667">
      <c r="D667" s="8" t="n">
        <v>2164540</v>
      </c>
      <c r="E667" s="8" t="inlineStr">
        <is>
          <t xml:space="preserve">PARACETAMOL FA 1000 MG (VIAL </t>
        </is>
      </c>
    </row>
    <row r="668">
      <c r="D668" s="8" t="n">
        <v>2164521</v>
      </c>
      <c r="E668" s="8" t="inlineStr">
        <is>
          <t>PARACETAMOL FA 500MG</t>
        </is>
      </c>
    </row>
    <row r="669">
      <c r="D669" s="8" t="n">
        <v>2175800</v>
      </c>
      <c r="E669" s="124" t="inlineStr">
        <is>
          <t>PARACETAMOL GOTAS 10% 15ml (1ml=30gts)</t>
        </is>
      </c>
    </row>
    <row r="670">
      <c r="D670" s="8" t="n">
        <v>2145930</v>
      </c>
      <c r="E670" s="8" t="inlineStr">
        <is>
          <t>PAROXETINA CM 20 MG</t>
        </is>
      </c>
    </row>
    <row r="671">
      <c r="D671" s="8" t="n">
        <v>2107605</v>
      </c>
      <c r="E671" s="8" t="inlineStr">
        <is>
          <t>PASTA LASSAR CJ X 50 GR</t>
        </is>
      </c>
    </row>
    <row r="672">
      <c r="D672" s="8" t="n">
        <v>2198310</v>
      </c>
      <c r="E672" s="8" t="inlineStr">
        <is>
          <t xml:space="preserve">PEGASPARGASA FA 3750 UI SOL. </t>
        </is>
      </c>
    </row>
    <row r="673">
      <c r="D673" s="8" t="n">
        <v>2136605</v>
      </c>
      <c r="E673" s="8" t="inlineStr">
        <is>
          <t>PENICILINA G-BENZ FA1.200.000</t>
        </is>
      </c>
    </row>
    <row r="674">
      <c r="D674" s="8" t="n">
        <v>2136635</v>
      </c>
      <c r="E674" s="8" t="inlineStr">
        <is>
          <t>PENICILINA G-SOD FA 1.000.000</t>
        </is>
      </c>
    </row>
    <row r="675">
      <c r="D675" s="8" t="n">
        <v>2136645</v>
      </c>
      <c r="E675" s="8" t="inlineStr">
        <is>
          <t>PENICILINA G-SOD FA 2.000.000</t>
        </is>
      </c>
    </row>
    <row r="676">
      <c r="D676" s="8" t="n">
        <v>2107750</v>
      </c>
      <c r="E676" s="8" t="inlineStr">
        <is>
          <t>PERMETRINA 5% CREMA</t>
        </is>
      </c>
    </row>
    <row r="677">
      <c r="D677" s="8" t="n">
        <v>2126610</v>
      </c>
      <c r="E677" s="8" t="inlineStr">
        <is>
          <t>PETIDINA CLOR AM 100 MG/2ML</t>
        </is>
      </c>
    </row>
    <row r="678">
      <c r="D678" s="8" t="n">
        <v>2176600</v>
      </c>
      <c r="E678" s="8" t="inlineStr">
        <is>
          <t>PICOSULFATO SODIO GTS</t>
        </is>
      </c>
    </row>
    <row r="679">
      <c r="D679" s="8" t="n">
        <v>2176650</v>
      </c>
      <c r="E679" s="8" t="inlineStr">
        <is>
          <t>PILOCARPINA 2% FC SOL OFT (FC</t>
        </is>
      </c>
    </row>
    <row r="680">
      <c r="D680" s="8" t="n">
        <v>2176655</v>
      </c>
      <c r="E680" s="8" t="inlineStr">
        <is>
          <t>PILOCARPINA 4% FC SOL OFT FCX</t>
        </is>
      </c>
    </row>
    <row r="681">
      <c r="D681" s="8" t="n">
        <v>2136730</v>
      </c>
      <c r="E681" s="8" t="inlineStr">
        <is>
          <t>PIPERACILINA-TAZOBACTAM FA4,5</t>
        </is>
      </c>
    </row>
    <row r="682">
      <c r="D682" s="8" t="n">
        <v>2136750</v>
      </c>
      <c r="E682" s="8" t="inlineStr">
        <is>
          <t>PIRAZINAMIDA CM 500 MG(CJX100</t>
        </is>
      </c>
    </row>
    <row r="683">
      <c r="D683" s="8" t="n">
        <v>2146700</v>
      </c>
      <c r="E683" s="8" t="inlineStr">
        <is>
          <t>PIRIDOSTIGMINA GG 60 MG (MEST</t>
        </is>
      </c>
    </row>
    <row r="684">
      <c r="D684" s="8" t="n">
        <v>2146703</v>
      </c>
      <c r="E684" s="8" t="inlineStr">
        <is>
          <t>PIRIDOXINA 10 MG COMPRIMIDO</t>
        </is>
      </c>
    </row>
    <row r="685">
      <c r="D685" s="8" t="n">
        <v>2164630</v>
      </c>
      <c r="E685" s="8" t="inlineStr">
        <is>
          <t>PIRIDOXINA CLORH AM 100 MG/1M</t>
        </is>
      </c>
    </row>
    <row r="686">
      <c r="D686" s="8" t="n">
        <v>2146710</v>
      </c>
      <c r="E686" s="8" t="inlineStr">
        <is>
          <t>PIRIMETAMINA CM 25 MG</t>
        </is>
      </c>
    </row>
    <row r="687">
      <c r="D687" s="8" t="n">
        <v>2156450</v>
      </c>
      <c r="E687" s="8" t="inlineStr">
        <is>
          <t>PLATA NITRATO EN BARRA</t>
        </is>
      </c>
    </row>
    <row r="688">
      <c r="D688" s="8" t="n">
        <v>2195300</v>
      </c>
      <c r="E688" s="8" t="inlineStr">
        <is>
          <t>PLERIXAFOR FA 20 MG/ML</t>
        </is>
      </c>
    </row>
    <row r="689">
      <c r="D689" s="8" t="n">
        <v>2107800</v>
      </c>
      <c r="E689" s="8" t="inlineStr">
        <is>
          <t>PODOFILINA 25%</t>
        </is>
      </c>
    </row>
    <row r="690">
      <c r="D690" s="8" t="n">
        <v>2107865</v>
      </c>
      <c r="E690" s="8" t="inlineStr">
        <is>
          <t>POLIETILENGLICOL 3350 SO 17 G</t>
        </is>
      </c>
    </row>
    <row r="691">
      <c r="D691" s="8" t="n">
        <v>2146800</v>
      </c>
      <c r="E691" s="8" t="inlineStr">
        <is>
          <t>POLIVITAMINICOS CM  (CJX1000)</t>
        </is>
      </c>
    </row>
    <row r="692">
      <c r="D692" s="8" t="n">
        <v>2176810</v>
      </c>
      <c r="E692" s="8" t="inlineStr">
        <is>
          <t>POLIVITAMINICOS JBE FCX100 ML</t>
        </is>
      </c>
    </row>
    <row r="693">
      <c r="D693" s="8" t="n">
        <v>2195410</v>
      </c>
      <c r="E693" s="8" t="inlineStr">
        <is>
          <t>PONATINIB 15 MG CP</t>
        </is>
      </c>
    </row>
    <row r="694">
      <c r="D694" s="8" t="n">
        <v>2195411</v>
      </c>
      <c r="E694" s="8" t="inlineStr">
        <is>
          <t>PONATINIB 45 MG CP</t>
        </is>
      </c>
    </row>
    <row r="695">
      <c r="D695" s="8" t="n">
        <v>2164730</v>
      </c>
      <c r="E695" s="8" t="inlineStr">
        <is>
          <t>POTASIO CLORUR 10% AM 10ML(1G</t>
        </is>
      </c>
    </row>
    <row r="696">
      <c r="D696" s="8" t="n">
        <v>2146810</v>
      </c>
      <c r="E696" s="8" t="inlineStr">
        <is>
          <t>POTASIO CLORURO A.PROL.GG 600</t>
        </is>
      </c>
    </row>
    <row r="697">
      <c r="D697" s="8" t="n">
        <v>2176882</v>
      </c>
      <c r="E697" s="8" t="inlineStr">
        <is>
          <t>POTASIO GLUCONATO ELIXIR 31,2</t>
        </is>
      </c>
    </row>
    <row r="698">
      <c r="D698" s="8" t="n">
        <v>2146812</v>
      </c>
      <c r="E698" s="8" t="inlineStr">
        <is>
          <t>PRAMIPEXOLE 0,25 MG CM</t>
        </is>
      </c>
    </row>
    <row r="699">
      <c r="D699" s="8" t="n">
        <v>2146813</v>
      </c>
      <c r="E699" s="8" t="inlineStr">
        <is>
          <t>PRAMIPEXOLE CM 1 MG</t>
        </is>
      </c>
    </row>
    <row r="700">
      <c r="D700" s="8" t="n">
        <v>2136908</v>
      </c>
      <c r="E700" s="8" t="inlineStr">
        <is>
          <t>PREDNISOLONA ACET 1%FC SUSP.O</t>
        </is>
      </c>
    </row>
    <row r="701">
      <c r="D701" s="8" t="n">
        <v>2136920</v>
      </c>
      <c r="E701" s="8" t="inlineStr">
        <is>
          <t>PREDNISONA CM 20 MG</t>
        </is>
      </c>
    </row>
    <row r="702">
      <c r="D702" s="8" t="n">
        <v>2136910</v>
      </c>
      <c r="E702" s="8" t="inlineStr">
        <is>
          <t>PREDNISONA CM 5 MG</t>
        </is>
      </c>
    </row>
    <row r="703">
      <c r="D703" s="8" t="n">
        <v>2136930</v>
      </c>
      <c r="E703" s="8" t="inlineStr">
        <is>
          <t>PREDNISONA JBE 20 MG/ 5 ML (B</t>
        </is>
      </c>
    </row>
    <row r="704">
      <c r="D704" s="8" t="n">
        <v>2013950</v>
      </c>
      <c r="E704" s="8" t="inlineStr">
        <is>
          <t>PREGABALINA CM 75 MG COMPRIMI</t>
        </is>
      </c>
    </row>
    <row r="705">
      <c r="D705" s="8" t="n">
        <v>2106105</v>
      </c>
      <c r="E705" s="8" t="inlineStr">
        <is>
          <t>PREPARACION MAGISTRAL MICOFENO</t>
        </is>
      </c>
    </row>
    <row r="706">
      <c r="D706" s="8" t="n">
        <v>2107999</v>
      </c>
      <c r="E706" s="8" t="inlineStr">
        <is>
          <t>PRIMIDONA 100 MG CAP</t>
        </is>
      </c>
    </row>
    <row r="707">
      <c r="D707" s="8" t="n">
        <v>2107997</v>
      </c>
      <c r="E707" s="8" t="inlineStr">
        <is>
          <t>PRIMIDONA 75 MG CAP</t>
        </is>
      </c>
    </row>
    <row r="708">
      <c r="D708" s="8" t="n">
        <v>2107996</v>
      </c>
      <c r="E708" s="8" t="inlineStr">
        <is>
          <t>PRIMIDONA CAP 25 MG</t>
        </is>
      </c>
    </row>
    <row r="709">
      <c r="D709" s="8" t="n">
        <v>2107998</v>
      </c>
      <c r="E709" s="8" t="inlineStr">
        <is>
          <t>PRIMIDONA CAP 50 MG</t>
        </is>
      </c>
    </row>
    <row r="710">
      <c r="D710" s="8" t="n">
        <v>2146820</v>
      </c>
      <c r="E710" s="8" t="inlineStr">
        <is>
          <t>PRIMIDONA CM 250 MG  (CJX1000</t>
        </is>
      </c>
    </row>
    <row r="711">
      <c r="D711" s="8" t="n">
        <v>2108900</v>
      </c>
      <c r="E711" s="8" t="inlineStr">
        <is>
          <t>PROPANOLOL 1 MG/ML SUSPENSION</t>
        </is>
      </c>
    </row>
    <row r="712">
      <c r="D712" s="8" t="n">
        <v>2109804</v>
      </c>
      <c r="E712" s="8" t="inlineStr">
        <is>
          <t>PROPANOLOL 4 MG/ML SUSPENSION</t>
        </is>
      </c>
    </row>
    <row r="713">
      <c r="D713" s="8" t="n">
        <v>2164867</v>
      </c>
      <c r="E713" s="8" t="inlineStr">
        <is>
          <t>PROPANOLOL AM 1 MG/1ML (CJX10</t>
        </is>
      </c>
    </row>
    <row r="714">
      <c r="D714" s="8" t="n">
        <v>2146870</v>
      </c>
      <c r="E714" s="8" t="inlineStr">
        <is>
          <t>PROPANOLOL CM 10 MG (CJX1000)</t>
        </is>
      </c>
    </row>
    <row r="715">
      <c r="D715" s="8" t="n">
        <v>2146874</v>
      </c>
      <c r="E715" s="8" t="inlineStr">
        <is>
          <t>PROPANOLOL CM 40 MG (CJX1000)</t>
        </is>
      </c>
    </row>
    <row r="716">
      <c r="D716" s="8" t="n">
        <v>2177000</v>
      </c>
      <c r="E716" s="8" t="inlineStr">
        <is>
          <t>PROPARACAÍNA 0,5% (5 MG/ML) C</t>
        </is>
      </c>
    </row>
    <row r="717">
      <c r="D717" s="8" t="n">
        <v>2146860</v>
      </c>
      <c r="E717" s="8" t="inlineStr">
        <is>
          <t>PROPILTIOURACILO CM 50 MG  (C</t>
        </is>
      </c>
    </row>
    <row r="718">
      <c r="D718" s="8" t="n">
        <v>2164869</v>
      </c>
      <c r="E718" s="124" t="inlineStr">
        <is>
          <t>PROPOFOL AM 10MG/ML*20 ML (1ml=0,1gr lípidos)</t>
        </is>
      </c>
    </row>
    <row r="719">
      <c r="D719" s="8" t="n">
        <v>2164872</v>
      </c>
      <c r="E719" s="124" t="inlineStr">
        <is>
          <t>PROPOFOL 2% 50ml (20mg/ml) (1ml=0,1gr lípidos)</t>
        </is>
      </c>
    </row>
    <row r="720">
      <c r="D720" s="8" t="n">
        <v>2164870</v>
      </c>
      <c r="E720" s="124" t="inlineStr">
        <is>
          <t>PROPOFOL MCT/LCT 1% 10 MG/ML (1ml=0,1gr lípidos)</t>
        </is>
      </c>
    </row>
    <row r="721">
      <c r="D721" s="8" t="n">
        <v>2164865</v>
      </c>
      <c r="E721" s="8" t="inlineStr">
        <is>
          <t>PROSTAGLANDINA AM 500 MCG/1ML</t>
        </is>
      </c>
    </row>
    <row r="722">
      <c r="D722" s="8" t="n">
        <v>2164868</v>
      </c>
      <c r="E722" s="8" t="inlineStr">
        <is>
          <t>PROTAMINA SULFATO FA 50 MG/5M</t>
        </is>
      </c>
    </row>
    <row r="723">
      <c r="D723" s="8" t="n">
        <v>2147048</v>
      </c>
      <c r="E723" s="8" t="inlineStr">
        <is>
          <t>QUETIAPINA 25 MG CM</t>
        </is>
      </c>
    </row>
    <row r="724">
      <c r="D724" s="8" t="n">
        <v>2147050</v>
      </c>
      <c r="E724" s="8" t="inlineStr">
        <is>
          <t>QUETIAPINA CM 100 MG</t>
        </is>
      </c>
    </row>
    <row r="725">
      <c r="D725" s="8" t="n">
        <v>2127420</v>
      </c>
      <c r="E725" s="8" t="inlineStr">
        <is>
          <t>REMIFENTANILO FA 2 MG</t>
        </is>
      </c>
    </row>
    <row r="726">
      <c r="D726" s="8" t="n">
        <v>2137360</v>
      </c>
      <c r="E726" s="8" t="inlineStr">
        <is>
          <t>RIBAVIRINA 200 MG CM (COPEGUS</t>
        </is>
      </c>
    </row>
    <row r="727">
      <c r="D727" s="8" t="n">
        <v>2108000</v>
      </c>
      <c r="E727" s="8" t="inlineStr">
        <is>
          <t>RIFAMPICINA 200 MG/5ML SUSPEN</t>
        </is>
      </c>
    </row>
    <row r="728">
      <c r="D728" s="8" t="n">
        <v>2137305</v>
      </c>
      <c r="E728" s="8" t="inlineStr">
        <is>
          <t>RIFAMPICINA CP 150 MG ( CJX50</t>
        </is>
      </c>
    </row>
    <row r="729">
      <c r="D729" s="8" t="n">
        <v>2137319</v>
      </c>
      <c r="E729" s="8" t="inlineStr">
        <is>
          <t>RIFAPENTINE CM 150 MG</t>
        </is>
      </c>
    </row>
    <row r="730">
      <c r="D730" s="8" t="n">
        <v>2147402</v>
      </c>
      <c r="E730" s="8" t="inlineStr">
        <is>
          <t>RISPERIDONA CM 1 MG</t>
        </is>
      </c>
    </row>
    <row r="731">
      <c r="D731" s="8" t="n">
        <v>2147400</v>
      </c>
      <c r="E731" s="8" t="inlineStr">
        <is>
          <t>RISPERIDONA CM 3 MG</t>
        </is>
      </c>
    </row>
    <row r="732">
      <c r="D732" s="8" t="n">
        <v>2164885</v>
      </c>
      <c r="E732" s="8" t="inlineStr">
        <is>
          <t xml:space="preserve">RISPERIDONA FA 25 MG LS. ADM </t>
        </is>
      </c>
    </row>
    <row r="733">
      <c r="D733" s="8" t="n">
        <v>2177050</v>
      </c>
      <c r="E733" s="8" t="inlineStr">
        <is>
          <t>RISPERIDONA GOTAS 1MG/ML FC 3</t>
        </is>
      </c>
    </row>
    <row r="734">
      <c r="D734" s="8" t="n">
        <v>2198312</v>
      </c>
      <c r="E734" s="8" t="inlineStr">
        <is>
          <t>RITUXIMAB 100MG FA SOLUC. BIO</t>
        </is>
      </c>
    </row>
    <row r="735">
      <c r="D735" s="8" t="n">
        <v>2198315</v>
      </c>
      <c r="E735" s="8" t="inlineStr">
        <is>
          <t>RITUXIMAB 500MG  FA SOLUC BIO</t>
        </is>
      </c>
    </row>
    <row r="736">
      <c r="D736" s="8" t="n">
        <v>2198323</v>
      </c>
      <c r="E736" s="8" t="inlineStr">
        <is>
          <t xml:space="preserve">RITUXIMAB SUBCUTANEO FA 1400 </t>
        </is>
      </c>
    </row>
    <row r="737">
      <c r="D737" s="8" t="n">
        <v>2147404</v>
      </c>
      <c r="E737" s="8" t="inlineStr">
        <is>
          <t>RIVAROXABAN CM 15 MG</t>
        </is>
      </c>
    </row>
    <row r="738">
      <c r="D738" s="8" t="n">
        <v>2147403</v>
      </c>
      <c r="E738" s="8" t="inlineStr">
        <is>
          <t>RIVAROXABAN CM 20 MG</t>
        </is>
      </c>
    </row>
    <row r="739">
      <c r="D739" s="8" t="n">
        <v>2164900</v>
      </c>
      <c r="E739" s="8" t="inlineStr">
        <is>
          <t>ROCURONIO BR FA 50MG/5ML</t>
        </is>
      </c>
    </row>
    <row r="740">
      <c r="D740" s="8" t="n">
        <v>2198332</v>
      </c>
      <c r="E740" s="8" t="inlineStr">
        <is>
          <t>RUXOLITINIB 10 MG CM</t>
        </is>
      </c>
    </row>
    <row r="741">
      <c r="D741" s="8" t="n">
        <v>2188471</v>
      </c>
      <c r="E741" s="8" t="inlineStr">
        <is>
          <t>S. AMINOACIDOS PEDIATRICOS 250</t>
        </is>
      </c>
    </row>
    <row r="742">
      <c r="D742" s="8" t="n">
        <v>2188460</v>
      </c>
      <c r="E742" s="8" t="inlineStr">
        <is>
          <t>S.AMINOACIDOS 10% FA 500ML</t>
        </is>
      </c>
    </row>
    <row r="743">
      <c r="D743" s="8" t="n">
        <v>2188452</v>
      </c>
      <c r="E743" s="8" t="inlineStr">
        <is>
          <t>S.AMINOACIDOS 5% FA 500ML</t>
        </is>
      </c>
    </row>
    <row r="744">
      <c r="D744" s="8" t="n">
        <v>2188405</v>
      </c>
      <c r="E744" s="8" t="inlineStr">
        <is>
          <t>S.P SODIO BICARBONATO 2/3M BOL</t>
        </is>
      </c>
    </row>
    <row r="745">
      <c r="D745" s="8" t="n">
        <v>2187575</v>
      </c>
      <c r="E745" s="8" t="inlineStr">
        <is>
          <t>S.P. GLUCOSA 50% AM 1000 ML</t>
        </is>
      </c>
    </row>
    <row r="746">
      <c r="D746" s="8" t="n">
        <v>2188490</v>
      </c>
      <c r="E746" s="8" t="inlineStr">
        <is>
          <t>S.P.FISIOLOGICO BS 3 LT.</t>
        </is>
      </c>
    </row>
    <row r="747">
      <c r="D747" s="8" t="n">
        <v>2187511</v>
      </c>
      <c r="E747" s="8" t="inlineStr">
        <is>
          <t>S.P.GLUCOSA  5% AM 1000 ML</t>
        </is>
      </c>
    </row>
    <row r="748">
      <c r="D748" s="8" t="n">
        <v>2187500</v>
      </c>
      <c r="E748" s="8" t="inlineStr">
        <is>
          <t>S.P.GLUCOSA  5% AM 250 ML</t>
        </is>
      </c>
    </row>
    <row r="749">
      <c r="D749" s="8" t="n">
        <v>2187506</v>
      </c>
      <c r="E749" s="8" t="inlineStr">
        <is>
          <t>S.P.GLUCOSA  5% AM 500 ML</t>
        </is>
      </c>
    </row>
    <row r="750">
      <c r="D750" s="8" t="n">
        <v>2187521</v>
      </c>
      <c r="E750" s="8" t="inlineStr">
        <is>
          <t>S.P.GLUCOSA 10% AM 1000 ML</t>
        </is>
      </c>
    </row>
    <row r="751">
      <c r="D751" s="8" t="n">
        <v>2187515</v>
      </c>
      <c r="E751" s="8" t="inlineStr">
        <is>
          <t>S.P.GLUCOSA 10% AM 250 ML</t>
        </is>
      </c>
    </row>
    <row r="752">
      <c r="D752" s="8" t="n">
        <v>2187516</v>
      </c>
      <c r="E752" s="8" t="inlineStr">
        <is>
          <t>S.P.GLUCOSA 10% AM 500 ML</t>
        </is>
      </c>
    </row>
    <row r="753">
      <c r="D753" s="8" t="n">
        <v>2187550</v>
      </c>
      <c r="E753" s="8" t="inlineStr">
        <is>
          <t>S.P.GLUCOSA 20% AM 250 ML</t>
        </is>
      </c>
    </row>
    <row r="754">
      <c r="D754" s="8" t="n">
        <v>2187555</v>
      </c>
      <c r="E754" s="8" t="inlineStr">
        <is>
          <t>S.P.GLUCOSA 20% AM 500 ML</t>
        </is>
      </c>
    </row>
    <row r="755">
      <c r="D755" s="8" t="n">
        <v>2187560</v>
      </c>
      <c r="E755" s="8" t="inlineStr">
        <is>
          <t>S.P.GLUCOSA 30% AM 250 ML</t>
        </is>
      </c>
    </row>
    <row r="756">
      <c r="D756" s="8" t="n">
        <v>2187565</v>
      </c>
      <c r="E756" s="8" t="inlineStr">
        <is>
          <t>S.P.GLUCOSA 30% AM 500 ML</t>
        </is>
      </c>
    </row>
    <row r="757">
      <c r="D757" s="8" t="n">
        <v>2187611</v>
      </c>
      <c r="E757" s="8" t="inlineStr">
        <is>
          <t>S.P.GLUCOSALINO AM 1000 ML</t>
        </is>
      </c>
    </row>
    <row r="758">
      <c r="D758" s="8" t="n">
        <v>2187606</v>
      </c>
      <c r="E758" s="8" t="inlineStr">
        <is>
          <t>S.P.GLUCOSALINO AM 500 ML</t>
        </is>
      </c>
    </row>
    <row r="759">
      <c r="D759" s="8" t="n">
        <v>2187933</v>
      </c>
      <c r="E759" s="8" t="inlineStr">
        <is>
          <t>S.P.MANITOL 15% AM 500 ML</t>
        </is>
      </c>
    </row>
    <row r="760">
      <c r="D760" s="8" t="n">
        <v>2188491</v>
      </c>
      <c r="E760" s="8" t="inlineStr">
        <is>
          <t>S.P.RINGER LACTATO AM 500 ML</t>
        </is>
      </c>
    </row>
    <row r="761">
      <c r="D761" s="8" t="n">
        <v>2188402</v>
      </c>
      <c r="E761" s="8" t="inlineStr">
        <is>
          <t>S.P.SODIO BICARB 1/6M AM 500 M</t>
        </is>
      </c>
    </row>
    <row r="762">
      <c r="D762" s="8" t="n">
        <v>2187600</v>
      </c>
      <c r="E762" s="8" t="inlineStr">
        <is>
          <t>S.P.SODIO CLOR 0,9% AM 250ML</t>
        </is>
      </c>
    </row>
    <row r="763">
      <c r="D763" s="8" t="n">
        <v>2188426</v>
      </c>
      <c r="E763" s="8" t="inlineStr">
        <is>
          <t>S.P.SODIO CLOR 0,9% AM 500ML</t>
        </is>
      </c>
    </row>
    <row r="764">
      <c r="D764" s="8" t="n">
        <v>2188431</v>
      </c>
      <c r="E764" s="8" t="inlineStr">
        <is>
          <t>S.P.SODIO CLOR 0,9% AM1000</t>
        </is>
      </c>
    </row>
    <row r="765">
      <c r="D765" s="8" t="n">
        <v>2188440</v>
      </c>
      <c r="E765" s="8" t="inlineStr">
        <is>
          <t>S.P.SODIO CLOR 0,9% TRIPLE BO</t>
        </is>
      </c>
    </row>
    <row r="766">
      <c r="D766" s="8" t="n">
        <v>2187605</v>
      </c>
      <c r="E766" s="8" t="inlineStr">
        <is>
          <t>S.P.SODIO CLOR 0.9% AM100ML</t>
        </is>
      </c>
    </row>
    <row r="767">
      <c r="D767" s="8" t="n">
        <v>2147730</v>
      </c>
      <c r="E767" s="8" t="inlineStr">
        <is>
          <t>SACARINA SOD CM 20 MG  (X1000</t>
        </is>
      </c>
    </row>
    <row r="768">
      <c r="D768" s="8" t="n">
        <v>2147750</v>
      </c>
      <c r="E768" s="8" t="inlineStr">
        <is>
          <t>SALAZOSULFAPIRINA CM 500 MG  C</t>
        </is>
      </c>
    </row>
    <row r="769">
      <c r="D769" s="8" t="n">
        <v>2178060</v>
      </c>
      <c r="E769" s="8" t="inlineStr">
        <is>
          <t>SALBUTAMOL 0,5% FX 20 ML SOL.</t>
        </is>
      </c>
    </row>
    <row r="770">
      <c r="D770" s="8" t="n">
        <v>2173983</v>
      </c>
      <c r="E770" s="8" t="inlineStr">
        <is>
          <t>SALBUTAMOL INH FC100 UG /DOSI</t>
        </is>
      </c>
    </row>
    <row r="771">
      <c r="D771" s="8" t="n">
        <v>2001266</v>
      </c>
      <c r="E771" s="8" t="inlineStr">
        <is>
          <t xml:space="preserve">SALES DE REHIDRATACION SODIO </t>
        </is>
      </c>
    </row>
    <row r="772">
      <c r="D772" s="8" t="n">
        <v>2109520</v>
      </c>
      <c r="E772" s="8" t="inlineStr">
        <is>
          <t>SALICILADA 10% EN VASELINA</t>
        </is>
      </c>
    </row>
    <row r="773">
      <c r="D773" s="8" t="n">
        <v>2109400</v>
      </c>
      <c r="E773" s="8" t="inlineStr">
        <is>
          <t>SALICILADA 3% EN VASELINA</t>
        </is>
      </c>
    </row>
    <row r="774">
      <c r="D774" s="8" t="n">
        <v>2173040</v>
      </c>
      <c r="E774" s="8" t="inlineStr">
        <is>
          <t>SALMET/FLUTIC INH 25/125  UG</t>
        </is>
      </c>
    </row>
    <row r="775">
      <c r="D775" s="8" t="n">
        <v>2178155</v>
      </c>
      <c r="E775" s="8" t="inlineStr">
        <is>
          <t>SALMETER/FLUTIC 25/250 MCG FC</t>
        </is>
      </c>
    </row>
    <row r="776">
      <c r="D776" s="8" t="n">
        <v>2178150</v>
      </c>
      <c r="E776" s="8" t="inlineStr">
        <is>
          <t>SALMETEROL INH. 25 MCG FCO</t>
        </is>
      </c>
    </row>
    <row r="777">
      <c r="D777" s="8" t="n">
        <v>2147800</v>
      </c>
      <c r="E777" s="8" t="inlineStr">
        <is>
          <t>SERTRALINA CM 50 MG</t>
        </is>
      </c>
    </row>
    <row r="778">
      <c r="D778" s="8" t="n">
        <v>2116200</v>
      </c>
      <c r="E778" s="8" t="inlineStr">
        <is>
          <t>SEVOFLURANO FC 250 ML</t>
        </is>
      </c>
    </row>
    <row r="779">
      <c r="D779" s="8" t="n">
        <v>2108800</v>
      </c>
      <c r="E779" s="8" t="inlineStr">
        <is>
          <t>SHOLL SOLUCI?N</t>
        </is>
      </c>
    </row>
    <row r="780">
      <c r="D780" s="8" t="n">
        <v>2147990</v>
      </c>
      <c r="E780" s="8" t="inlineStr">
        <is>
          <t>SILDENAFIL CM 50 MG</t>
        </is>
      </c>
    </row>
    <row r="781">
      <c r="D781" s="8" t="n">
        <v>2147900</v>
      </c>
      <c r="E781" s="8" t="inlineStr">
        <is>
          <t>SIROLIMUS 1MG GRAGEAS (RAPAMU</t>
        </is>
      </c>
    </row>
    <row r="782">
      <c r="D782" s="8" t="n">
        <v>2107955</v>
      </c>
      <c r="E782" s="8" t="inlineStr">
        <is>
          <t>SODIO BICARBONATO 1 GR PAPELI</t>
        </is>
      </c>
    </row>
    <row r="783">
      <c r="D783" s="8" t="n">
        <v>2165050</v>
      </c>
      <c r="E783" s="8" t="inlineStr">
        <is>
          <t>SODIO BICARBONATO 8% AM10 ML</t>
        </is>
      </c>
    </row>
    <row r="784">
      <c r="D784" s="8" t="n">
        <v>2107954</v>
      </c>
      <c r="E784" s="8" t="inlineStr">
        <is>
          <t>SODIO BICARBONATO CP 500 MG</t>
        </is>
      </c>
    </row>
    <row r="785">
      <c r="D785" s="8" t="n">
        <v>2165602</v>
      </c>
      <c r="E785" s="8" t="inlineStr">
        <is>
          <t>SODIO CLORUR0 0,9% AM 20ML</t>
        </is>
      </c>
    </row>
    <row r="786">
      <c r="D786" s="8" t="n">
        <v>2165590</v>
      </c>
      <c r="E786" s="8" t="inlineStr">
        <is>
          <t>SODIO CLORURO 0,9% AM 5ML</t>
        </is>
      </c>
    </row>
    <row r="787">
      <c r="D787" s="8" t="n">
        <v>2165623</v>
      </c>
      <c r="E787" s="8" t="inlineStr">
        <is>
          <t>SODIO CLORURO 10% AM 10 ML (1</t>
        </is>
      </c>
    </row>
    <row r="788">
      <c r="D788" s="8" t="n">
        <v>2165622</v>
      </c>
      <c r="E788" s="8" t="inlineStr">
        <is>
          <t>SODIO CLORURO 10% AM 20ML(2GR</t>
        </is>
      </c>
    </row>
    <row r="789">
      <c r="D789" s="8" t="n">
        <v>2188500</v>
      </c>
      <c r="E789" s="8" t="inlineStr">
        <is>
          <t>SOL.BALANCE SALINA (BSS) AM 5</t>
        </is>
      </c>
    </row>
    <row r="790">
      <c r="D790" s="8" t="n">
        <v>2187416</v>
      </c>
      <c r="E790" s="8" t="inlineStr">
        <is>
          <t>SOL.URO/IRRIGACION BS 3LT(GLI</t>
        </is>
      </c>
    </row>
    <row r="791">
      <c r="D791" s="8" t="n">
        <v>2187440</v>
      </c>
      <c r="E791" s="8" t="inlineStr">
        <is>
          <t>SOLUCION BELZER TRASPLANTE REN</t>
        </is>
      </c>
    </row>
    <row r="792">
      <c r="D792" s="8" t="n">
        <v>2187430</v>
      </c>
      <c r="E792" s="8" t="inlineStr">
        <is>
          <t>SOLUCION EUROCOLLINS TRASPLAN</t>
        </is>
      </c>
    </row>
    <row r="793">
      <c r="D793" s="8" t="n">
        <v>2165680</v>
      </c>
      <c r="E793" s="8" t="inlineStr">
        <is>
          <t>SUCCINILCOLINA CLOR FA100 MG</t>
        </is>
      </c>
    </row>
    <row r="794">
      <c r="D794" s="8" t="n">
        <v>2165686</v>
      </c>
      <c r="E794" s="8" t="inlineStr">
        <is>
          <t>SUGAMMADEX FA 200 MG X 2 ML</t>
        </is>
      </c>
    </row>
    <row r="795">
      <c r="D795" s="8" t="n">
        <v>2137800</v>
      </c>
      <c r="E795" s="8" t="inlineStr">
        <is>
          <t>SULBACTAM/AMPICILIN FA1,5GR</t>
        </is>
      </c>
    </row>
    <row r="796">
      <c r="D796" s="8" t="n">
        <v>2108920</v>
      </c>
      <c r="E796" s="8" t="inlineStr">
        <is>
          <t>SULFATO DE ZINC 0.1% SOLUCI?N</t>
        </is>
      </c>
    </row>
    <row r="797">
      <c r="D797" s="8" t="n">
        <v>2176656</v>
      </c>
      <c r="E797" s="8" t="inlineStr">
        <is>
          <t>SULFONATO CALCICO POLIESTIRENO</t>
        </is>
      </c>
    </row>
    <row r="798">
      <c r="D798" s="8" t="n">
        <v>2148050</v>
      </c>
      <c r="E798" s="8" t="inlineStr">
        <is>
          <t>SULPIRIDE CP 50 MG</t>
        </is>
      </c>
    </row>
    <row r="799">
      <c r="D799" s="8" t="n">
        <v>2001400</v>
      </c>
      <c r="E799" s="8" t="inlineStr">
        <is>
          <t>SURFACTANTE ARTIF FA 25MG/ML</t>
        </is>
      </c>
    </row>
    <row r="800">
      <c r="D800" s="8" t="n">
        <v>2001410</v>
      </c>
      <c r="E800" s="8" t="inlineStr">
        <is>
          <t>SURFACTANTE PULMONAR (DE CERDO</t>
        </is>
      </c>
    </row>
    <row r="801">
      <c r="D801" s="8" t="n">
        <v>2148086</v>
      </c>
      <c r="E801" s="8" t="inlineStr">
        <is>
          <t>TACROLIMUS TOPICO 0.1%</t>
        </is>
      </c>
    </row>
    <row r="802">
      <c r="D802" s="8" t="n">
        <v>2148081</v>
      </c>
      <c r="E802" s="8" t="inlineStr">
        <is>
          <t>TACROLIMUS XL CP 1 MG</t>
        </is>
      </c>
    </row>
    <row r="803">
      <c r="D803" s="8" t="n">
        <v>2148083</v>
      </c>
      <c r="E803" s="8" t="inlineStr">
        <is>
          <t>TACROLIMUS XL CP 3 MG</t>
        </is>
      </c>
    </row>
    <row r="804">
      <c r="D804" s="8" t="n">
        <v>2148082</v>
      </c>
      <c r="E804" s="8" t="inlineStr">
        <is>
          <t>TACROLIMUS XL CP 5 MG</t>
        </is>
      </c>
    </row>
    <row r="805">
      <c r="D805" s="8" t="n">
        <v>2198318</v>
      </c>
      <c r="E805" s="8" t="inlineStr">
        <is>
          <t>TALIDOMIDA  CAP 100MG BIOEQUI</t>
        </is>
      </c>
    </row>
    <row r="806">
      <c r="D806" s="8" t="n">
        <v>2198110</v>
      </c>
      <c r="E806" s="8" t="inlineStr">
        <is>
          <t>TAMOXIFENO 20MG CM BIOEQUIVAL</t>
        </is>
      </c>
    </row>
    <row r="807">
      <c r="D807" s="8" t="n">
        <v>2148100</v>
      </c>
      <c r="E807" s="8" t="inlineStr">
        <is>
          <t>TAMSULOSINA CP 0,4 MG</t>
        </is>
      </c>
    </row>
    <row r="808">
      <c r="D808" s="8" t="n">
        <v>2127500</v>
      </c>
      <c r="E808" s="8" t="inlineStr">
        <is>
          <t>TAPENTADOL 50 MG CM REC</t>
        </is>
      </c>
    </row>
    <row r="809">
      <c r="D809" s="8" t="n">
        <v>2127505</v>
      </c>
      <c r="E809" s="8" t="inlineStr">
        <is>
          <t>TAPENTADOL RETARD CM 50 MG</t>
        </is>
      </c>
    </row>
    <row r="810">
      <c r="D810" s="8" t="n">
        <v>2165694</v>
      </c>
      <c r="E810" s="8" t="inlineStr">
        <is>
          <t>TEDUGLUTIDE FA 5MG</t>
        </is>
      </c>
    </row>
    <row r="811">
      <c r="D811" s="8" t="n">
        <v>2165693</v>
      </c>
      <c r="E811" s="8" t="inlineStr">
        <is>
          <t>TENECTEPLASE FA 10.000 UI</t>
        </is>
      </c>
    </row>
    <row r="812">
      <c r="D812" s="8" t="n">
        <v>2148220</v>
      </c>
      <c r="E812" s="8" t="inlineStr">
        <is>
          <t>TERBINAFINA CM 250 MG</t>
        </is>
      </c>
    </row>
    <row r="813">
      <c r="D813" s="8" t="n">
        <v>2165698</v>
      </c>
      <c r="E813" s="8" t="inlineStr">
        <is>
          <t>TERLIPRESINA AM 1 MG</t>
        </is>
      </c>
    </row>
    <row r="814">
      <c r="D814" s="8" t="n">
        <v>2165695</v>
      </c>
      <c r="E814" s="8" t="inlineStr">
        <is>
          <t>TESTOSTERONA ENANT AM 250 MG/</t>
        </is>
      </c>
    </row>
    <row r="815">
      <c r="D815" s="8" t="n">
        <v>2198327</v>
      </c>
      <c r="E815" s="8" t="inlineStr">
        <is>
          <t>TESTOSTERONA UNDECANOATO 1000</t>
        </is>
      </c>
    </row>
    <row r="816">
      <c r="D816" s="8" t="n">
        <v>2165690</v>
      </c>
      <c r="E816" s="8" t="inlineStr">
        <is>
          <t>TETRACOSACTIDA (HEXAACETATO) 1</t>
        </is>
      </c>
    </row>
    <row r="817">
      <c r="D817" s="8" t="n">
        <v>2148410</v>
      </c>
      <c r="E817" s="8" t="inlineStr">
        <is>
          <t>TIAMAZOL 10 MG</t>
        </is>
      </c>
    </row>
    <row r="818">
      <c r="D818" s="8" t="n">
        <v>2140420</v>
      </c>
      <c r="E818" s="8" t="inlineStr">
        <is>
          <t>TIAMINA CAP 50 MG</t>
        </is>
      </c>
    </row>
    <row r="819">
      <c r="D819" s="8" t="n">
        <v>2166020</v>
      </c>
      <c r="E819" s="8" t="inlineStr">
        <is>
          <t>TIAMINA CLORH AM 30 MG/1ML</t>
        </is>
      </c>
    </row>
    <row r="820">
      <c r="D820" s="8" t="n">
        <v>2628650</v>
      </c>
      <c r="E820" s="8" t="inlineStr">
        <is>
          <t>TIMOGLOBULINA  FA 25 MG (R-AT</t>
        </is>
      </c>
    </row>
    <row r="821">
      <c r="D821" s="8" t="n">
        <v>2178400</v>
      </c>
      <c r="E821" s="8" t="inlineStr">
        <is>
          <t>TIMOLOL MALEATO O,50%FC SOL O</t>
        </is>
      </c>
    </row>
    <row r="822">
      <c r="D822" s="8" t="n">
        <v>2198325</v>
      </c>
      <c r="E822" s="8" t="inlineStr">
        <is>
          <t>TIOGUANINA CM 40 MG BIOEQUIVA</t>
        </is>
      </c>
    </row>
    <row r="823">
      <c r="D823" s="8" t="n">
        <v>2178410</v>
      </c>
      <c r="E823" s="8" t="inlineStr">
        <is>
          <t>TIOTROPIO BROMURO 2,5 MCG SOL.</t>
        </is>
      </c>
    </row>
    <row r="824">
      <c r="D824" s="8" t="n">
        <v>2165699</v>
      </c>
      <c r="E824" s="8" t="inlineStr">
        <is>
          <t>TIROFIBAN FA 0,025% SOL. INY</t>
        </is>
      </c>
    </row>
    <row r="825">
      <c r="D825" s="8" t="n">
        <v>2138286</v>
      </c>
      <c r="E825" s="8" t="inlineStr">
        <is>
          <t>TOBRAMIC.0,3%/DEXA 0,1% SOL.O</t>
        </is>
      </c>
    </row>
    <row r="826">
      <c r="D826" s="8" t="n">
        <v>2138285</v>
      </c>
      <c r="E826" s="8" t="inlineStr">
        <is>
          <t>TOBRAMICINA 0,3% SOL OFT FC 5</t>
        </is>
      </c>
    </row>
    <row r="827">
      <c r="D827" s="8" t="n">
        <v>2013800</v>
      </c>
      <c r="E827" s="8" t="inlineStr">
        <is>
          <t>TOL 12 JBE ORAL * 250ML</t>
        </is>
      </c>
    </row>
    <row r="828">
      <c r="D828" s="8" t="n">
        <v>2148442</v>
      </c>
      <c r="E828" s="8" t="inlineStr">
        <is>
          <t>TOLTERODINA CM 2 MG (DETRUSIT</t>
        </is>
      </c>
    </row>
    <row r="829">
      <c r="D829" s="8" t="n">
        <v>2148460</v>
      </c>
      <c r="E829" s="8" t="inlineStr">
        <is>
          <t>TOPIRAMATO 100 MG CM</t>
        </is>
      </c>
    </row>
    <row r="830">
      <c r="D830" s="8" t="n">
        <v>2148445</v>
      </c>
      <c r="E830" s="8" t="inlineStr">
        <is>
          <t>TOPIRAMATO CM 25 MG</t>
        </is>
      </c>
    </row>
    <row r="831">
      <c r="D831" s="8" t="n">
        <v>2016600</v>
      </c>
      <c r="E831" s="8" t="inlineStr">
        <is>
          <t>TOPIRAMATO CM 50 MG</t>
        </is>
      </c>
    </row>
    <row r="832">
      <c r="D832" s="8" t="n">
        <v>2198340</v>
      </c>
      <c r="E832" s="8" t="inlineStr">
        <is>
          <t>TOPOTECAN FA 4 MG</t>
        </is>
      </c>
    </row>
    <row r="833">
      <c r="D833" s="8" t="n">
        <v>2620065</v>
      </c>
      <c r="E833" s="8" t="inlineStr">
        <is>
          <t>TOX. BOTULI. TIPO A FA 100 UI</t>
        </is>
      </c>
    </row>
    <row r="834">
      <c r="D834" s="8" t="n">
        <v>2620075</v>
      </c>
      <c r="E834" s="8" t="inlineStr">
        <is>
          <t>TOX.BOTULINICA 200 UI MULTIDOS</t>
        </is>
      </c>
    </row>
    <row r="835">
      <c r="D835" s="8" t="n">
        <v>2166200</v>
      </c>
      <c r="E835" s="8" t="inlineStr">
        <is>
          <t>TRAMADOL AM 100 MG/2ML</t>
        </is>
      </c>
    </row>
    <row r="836">
      <c r="D836" s="8" t="n">
        <v>2088400</v>
      </c>
      <c r="E836" s="8" t="inlineStr">
        <is>
          <t>TRAMADOL CP 100 MG LIBER. SOS</t>
        </is>
      </c>
    </row>
    <row r="837">
      <c r="D837" s="8" t="n">
        <v>2088410</v>
      </c>
      <c r="E837" s="8" t="inlineStr">
        <is>
          <t>TRAMADOL CP 200 MG LIBER. SOS</t>
        </is>
      </c>
    </row>
    <row r="838">
      <c r="D838" s="8" t="n">
        <v>2148450</v>
      </c>
      <c r="E838" s="8" t="inlineStr">
        <is>
          <t>TRAMADOL CP 50 MG</t>
        </is>
      </c>
    </row>
    <row r="839">
      <c r="D839" s="8" t="n">
        <v>2178450</v>
      </c>
      <c r="E839" s="8" t="inlineStr">
        <is>
          <t>TRAMADOL GOTAS 100MG/ML (40 GO</t>
        </is>
      </c>
    </row>
    <row r="840">
      <c r="D840" s="8" t="n">
        <v>2148500</v>
      </c>
      <c r="E840" s="8" t="inlineStr">
        <is>
          <t>TRAZODONA CM 100 MG  (CJX20)</t>
        </is>
      </c>
    </row>
    <row r="841">
      <c r="D841" s="8" t="n">
        <v>2148600</v>
      </c>
      <c r="E841" s="8" t="inlineStr">
        <is>
          <t>TRIHEXIFENIDILO CM 2MG (CJX10</t>
        </is>
      </c>
    </row>
    <row r="842">
      <c r="D842" s="8" t="n">
        <v>2198405</v>
      </c>
      <c r="E842" s="8" t="inlineStr">
        <is>
          <t>TRIOXIDO ARSENICO 10 MG FA</t>
        </is>
      </c>
    </row>
    <row r="843">
      <c r="D843" s="8" t="n">
        <v>2165705</v>
      </c>
      <c r="E843" s="8" t="inlineStr">
        <is>
          <t>TRIPTORELINA ACETATO 22,5 MG</t>
        </is>
      </c>
    </row>
    <row r="844">
      <c r="D844" s="8" t="n">
        <v>2178500</v>
      </c>
      <c r="E844" s="8" t="inlineStr">
        <is>
          <t>TROPICAMIDA 1%FC COLIR (MYDRI</t>
        </is>
      </c>
    </row>
    <row r="845">
      <c r="D845" s="8" t="n">
        <v>2178600</v>
      </c>
      <c r="E845" s="8" t="inlineStr">
        <is>
          <t>UMECLIDINIO/VILANTEROL 55/22 M</t>
        </is>
      </c>
    </row>
    <row r="846">
      <c r="D846" s="8" t="n">
        <v>2166405</v>
      </c>
      <c r="E846" s="8" t="inlineStr">
        <is>
          <t>URAPIDILO AM 50 MG/10 ML</t>
        </is>
      </c>
    </row>
    <row r="847">
      <c r="D847" s="8" t="n">
        <v>2107950</v>
      </c>
      <c r="E847" s="8" t="inlineStr">
        <is>
          <t>UREA 10% CJ X 50 GR EN CREMA</t>
        </is>
      </c>
    </row>
    <row r="848">
      <c r="D848" s="8" t="n">
        <v>2109152</v>
      </c>
      <c r="E848" s="8" t="inlineStr">
        <is>
          <t>UREA 10% EN CREMA BASE</t>
        </is>
      </c>
    </row>
    <row r="849">
      <c r="D849" s="8" t="n">
        <v>2109155</v>
      </c>
      <c r="E849" s="8" t="inlineStr">
        <is>
          <t>UREA 30% EN CREMA BASE</t>
        </is>
      </c>
    </row>
    <row r="850">
      <c r="D850" s="8" t="n">
        <v>2109160</v>
      </c>
      <c r="E850" s="8" t="inlineStr">
        <is>
          <t xml:space="preserve">UREA 5%  CJ X 50 GR EN CREMA </t>
        </is>
      </c>
    </row>
    <row r="851">
      <c r="D851" s="8" t="n">
        <v>2622350</v>
      </c>
      <c r="E851" s="8" t="inlineStr">
        <is>
          <t>VACUNA ANTIHEPATITIS B AM</t>
        </is>
      </c>
    </row>
    <row r="852">
      <c r="D852" s="8" t="n">
        <v>2622336</v>
      </c>
      <c r="E852" s="8" t="inlineStr">
        <is>
          <t>VACUNA ANTIRRABICA AM (CJX10A</t>
        </is>
      </c>
    </row>
    <row r="853">
      <c r="D853" s="8" t="n">
        <v>2138289</v>
      </c>
      <c r="E853" s="8" t="inlineStr">
        <is>
          <t>VALGANCICLOVIR CM 450 MG</t>
        </is>
      </c>
    </row>
    <row r="854">
      <c r="D854" s="8" t="n">
        <v>2138300</v>
      </c>
      <c r="E854" s="8" t="inlineStr">
        <is>
          <t>VANCOMICINA FA 1000 MG</t>
        </is>
      </c>
    </row>
    <row r="855">
      <c r="D855" s="8" t="n">
        <v>2138290</v>
      </c>
      <c r="E855" s="8" t="inlineStr">
        <is>
          <t>VANCOMICINA FA 500 MG</t>
        </is>
      </c>
    </row>
    <row r="856">
      <c r="D856" s="8" t="n">
        <v>2166410</v>
      </c>
      <c r="E856" s="8" t="inlineStr">
        <is>
          <t>VASELINA ESTERIL AM 10 ML</t>
        </is>
      </c>
    </row>
    <row r="857">
      <c r="D857" s="8" t="n">
        <v>2179001</v>
      </c>
      <c r="E857" s="8" t="inlineStr">
        <is>
          <t>VASELINA LIQ. MEDICINAL FCO</t>
        </is>
      </c>
    </row>
    <row r="858">
      <c r="D858" s="8" t="n">
        <v>2119000</v>
      </c>
      <c r="E858" s="8" t="inlineStr">
        <is>
          <t>VASELINA SOLIDA BCA. FARMACOP</t>
        </is>
      </c>
    </row>
    <row r="859">
      <c r="D859" s="8" t="n">
        <v>2148680</v>
      </c>
      <c r="E859" s="8" t="inlineStr">
        <is>
          <t>VENLAFAXINA 75 MG CM LIBERACI</t>
        </is>
      </c>
    </row>
    <row r="860">
      <c r="D860" s="8" t="n">
        <v>2167000</v>
      </c>
      <c r="E860" s="8" t="inlineStr">
        <is>
          <t>VERAPAMILO CLORH AM 5 MG/2ML</t>
        </is>
      </c>
    </row>
    <row r="861">
      <c r="D861" s="8" t="n">
        <v>2148685</v>
      </c>
      <c r="E861" s="8" t="inlineStr">
        <is>
          <t>VIGABATRINA CM 500MG</t>
        </is>
      </c>
    </row>
    <row r="862">
      <c r="D862" s="8" t="n">
        <v>2130030</v>
      </c>
      <c r="E862" s="8" t="inlineStr">
        <is>
          <t>VIH ABACAVIR CM 300 MG</t>
        </is>
      </c>
    </row>
    <row r="863">
      <c r="D863" s="8" t="n">
        <v>2135500</v>
      </c>
      <c r="E863" s="8" t="inlineStr">
        <is>
          <t>VIH ABACAVIR/LAMIVUDIN 600/300</t>
        </is>
      </c>
    </row>
    <row r="864">
      <c r="D864" s="8" t="n">
        <v>2130482</v>
      </c>
      <c r="E864" s="8" t="inlineStr">
        <is>
          <t>VIH ATAZANAVIR 300 MG CM</t>
        </is>
      </c>
    </row>
    <row r="865">
      <c r="D865" s="8" t="n">
        <v>2130485</v>
      </c>
      <c r="E865" s="8" t="inlineStr">
        <is>
          <t>VIH ATAZANAVIR-COBICIS 300/150</t>
        </is>
      </c>
    </row>
    <row r="866">
      <c r="D866" s="8" t="n">
        <v>2130310</v>
      </c>
      <c r="E866" s="8" t="inlineStr">
        <is>
          <t>VIH BIKTARVY - TENO ALAF/ EMTR</t>
        </is>
      </c>
    </row>
    <row r="867">
      <c r="D867" s="8" t="n">
        <v>2134550</v>
      </c>
      <c r="E867" s="8" t="inlineStr">
        <is>
          <t>VIH COMBIVIR LAMIV 150/ZIDOV 3</t>
        </is>
      </c>
    </row>
    <row r="868">
      <c r="D868" s="8" t="n">
        <v>2131510</v>
      </c>
      <c r="E868" s="8" t="inlineStr">
        <is>
          <t>VIH DARUNAVIR 600 MG CM (PREZI</t>
        </is>
      </c>
    </row>
    <row r="869">
      <c r="D869" s="8" t="n">
        <v>2131505</v>
      </c>
      <c r="E869" s="8" t="inlineStr">
        <is>
          <t>VIH DARUNAVIR CM 400 MG</t>
        </is>
      </c>
    </row>
    <row r="870">
      <c r="D870" s="8" t="n">
        <v>2132018</v>
      </c>
      <c r="E870" s="8" t="inlineStr">
        <is>
          <t>VIH DOLUT50/ABAC600/LAMIVUD300</t>
        </is>
      </c>
    </row>
    <row r="871">
      <c r="D871" s="8" t="n">
        <v>2132020</v>
      </c>
      <c r="E871" s="8" t="inlineStr">
        <is>
          <t>VIH EFAVIRENZ  CP 600 MG FC X</t>
        </is>
      </c>
    </row>
    <row r="872">
      <c r="D872" s="8" t="n">
        <v>2130300</v>
      </c>
      <c r="E872" s="8" t="inlineStr">
        <is>
          <t>VIH GENVOYA TEN/ELV/COB/EMT</t>
        </is>
      </c>
    </row>
    <row r="873">
      <c r="D873" s="8" t="n">
        <v>2132715</v>
      </c>
      <c r="E873" s="8" t="inlineStr">
        <is>
          <t>VIH INTELENCE ETRAVIRINA 200 M</t>
        </is>
      </c>
    </row>
    <row r="874">
      <c r="D874" s="8" t="n">
        <v>2134505</v>
      </c>
      <c r="E874" s="8" t="inlineStr">
        <is>
          <t>VIH LAMIVUDINA JARABE 10 MG/ML</t>
        </is>
      </c>
    </row>
    <row r="875">
      <c r="D875" s="8" t="n">
        <v>2133480</v>
      </c>
      <c r="E875" s="8" t="inlineStr">
        <is>
          <t>VIH LOPINA/RITONA CM 200/50 MG</t>
        </is>
      </c>
    </row>
    <row r="876">
      <c r="D876" s="8" t="n">
        <v>2134560</v>
      </c>
      <c r="E876" s="8" t="inlineStr">
        <is>
          <t>VIH MARAVIROC 150 MG</t>
        </is>
      </c>
    </row>
    <row r="877">
      <c r="D877" s="8" t="n">
        <v>2134555</v>
      </c>
      <c r="E877" s="8" t="inlineStr">
        <is>
          <t>VIH MARAVIROC CM 300 MG</t>
        </is>
      </c>
    </row>
    <row r="878">
      <c r="D878" s="8" t="n">
        <v>2135592</v>
      </c>
      <c r="E878" s="8" t="inlineStr">
        <is>
          <t>VIH NEVIRAPINA 10 MG/ML FC 100</t>
        </is>
      </c>
    </row>
    <row r="879">
      <c r="D879" s="8" t="n">
        <v>2135590</v>
      </c>
      <c r="E879" s="8" t="inlineStr">
        <is>
          <t>VIH NEVIRAPINA CM 200 MG</t>
        </is>
      </c>
    </row>
    <row r="880">
      <c r="D880" s="8" t="n">
        <v>2137300</v>
      </c>
      <c r="E880" s="8" t="inlineStr">
        <is>
          <t>VIH RALTEGRAVIR 400 MG CM (ISE</t>
        </is>
      </c>
    </row>
    <row r="881">
      <c r="D881" s="8" t="n">
        <v>2137306</v>
      </c>
      <c r="E881" s="8" t="inlineStr">
        <is>
          <t>VIH RALTEGRAVIR HD CM 600 MG</t>
        </is>
      </c>
    </row>
    <row r="882">
      <c r="D882" s="8" t="n">
        <v>2137356</v>
      </c>
      <c r="E882" s="8" t="inlineStr">
        <is>
          <t>VIH RITONAVIR 100 MG</t>
        </is>
      </c>
    </row>
    <row r="883">
      <c r="D883" s="8" t="n">
        <v>2137355</v>
      </c>
      <c r="E883" s="8" t="inlineStr">
        <is>
          <t>VIH RITONAVIR JARABE 80 MG/ML</t>
        </is>
      </c>
    </row>
    <row r="884">
      <c r="D884" s="8" t="n">
        <v>2132080</v>
      </c>
      <c r="E884" s="8" t="inlineStr">
        <is>
          <t>VIH STRIBILD ELV/COB/EMT/TEN 1</t>
        </is>
      </c>
    </row>
    <row r="885">
      <c r="D885" s="8" t="n">
        <v>2132100</v>
      </c>
      <c r="E885" s="8" t="inlineStr">
        <is>
          <t>VIH TENOFO/EMTRIC 300/200 MG</t>
        </is>
      </c>
    </row>
    <row r="886">
      <c r="D886" s="8" t="n">
        <v>2138506</v>
      </c>
      <c r="E886" s="8" t="inlineStr">
        <is>
          <t>VIH ZIDOVUDINA 10MG/ML SOL. OR</t>
        </is>
      </c>
    </row>
    <row r="887">
      <c r="D887" s="8" t="n">
        <v>2138550</v>
      </c>
      <c r="E887" s="8" t="inlineStr">
        <is>
          <t>VIH ZIDOVUDINA CM 300 MG (AZT)</t>
        </is>
      </c>
    </row>
    <row r="888">
      <c r="D888" s="8" t="n">
        <v>2138510</v>
      </c>
      <c r="E888" s="8" t="inlineStr">
        <is>
          <t>VIH ZIDOVUDINA FA 200 MG/20 ML</t>
        </is>
      </c>
    </row>
    <row r="889">
      <c r="D889" s="8" t="n">
        <v>2198720</v>
      </c>
      <c r="E889" s="8" t="inlineStr">
        <is>
          <t>VINBLASTINA FA 10 MG SOL. INY</t>
        </is>
      </c>
    </row>
    <row r="890">
      <c r="D890" s="8" t="n">
        <v>2198800</v>
      </c>
      <c r="E890" s="8" t="inlineStr">
        <is>
          <t>VINCRISTINA FA 1 MG SOL. INYE</t>
        </is>
      </c>
    </row>
    <row r="891">
      <c r="D891" s="8" t="n">
        <v>2628700</v>
      </c>
      <c r="E891" s="8" t="inlineStr">
        <is>
          <t>VISCOELAST (DUOVISC-HIALUR. A</t>
        </is>
      </c>
    </row>
    <row r="892">
      <c r="D892" s="8" t="n">
        <v>2179051</v>
      </c>
      <c r="E892" s="8" t="inlineStr">
        <is>
          <t>VITAMINA D3 800 UI/4 GOTAS OLE</t>
        </is>
      </c>
    </row>
    <row r="893">
      <c r="D893" s="8" t="n">
        <v>2179050</v>
      </c>
      <c r="E893" s="124" t="inlineStr">
        <is>
          <t>VITAMINAS A C D GTS 30ml (24 gts=0,6ml)</t>
        </is>
      </c>
    </row>
    <row r="894">
      <c r="D894" s="8" t="n">
        <v>2627000</v>
      </c>
      <c r="E894" s="8" t="inlineStr">
        <is>
          <t>VITAMINAS ADULTOS I.V.</t>
        </is>
      </c>
    </row>
    <row r="895">
      <c r="D895" s="8" t="n">
        <v>2167500</v>
      </c>
      <c r="E895" s="8" t="inlineStr">
        <is>
          <t>VITAMINAS B1/B6/B12 SOL INY</t>
        </is>
      </c>
    </row>
    <row r="896">
      <c r="D896" s="8" t="n">
        <v>2148750</v>
      </c>
      <c r="E896" s="8" t="inlineStr">
        <is>
          <t>VITAMINAS LIPOSOLUB. CAP FC X</t>
        </is>
      </c>
    </row>
    <row r="897">
      <c r="D897" s="8" t="n">
        <v>2179060</v>
      </c>
      <c r="E897" s="8" t="inlineStr">
        <is>
          <t>VITAMINAS LIPOSOLUBLES GOTAS *</t>
        </is>
      </c>
    </row>
    <row r="898">
      <c r="D898" s="8" t="n">
        <v>2627100</v>
      </c>
      <c r="E898" s="8" t="inlineStr">
        <is>
          <t>VITAMINAS PEDIATRICAS E.V.</t>
        </is>
      </c>
    </row>
    <row r="899">
      <c r="D899" s="8" t="n">
        <v>2138351</v>
      </c>
      <c r="E899" s="8" t="inlineStr">
        <is>
          <t>VORICONAZOL CM 200 MG</t>
        </is>
      </c>
    </row>
    <row r="900">
      <c r="D900" s="8" t="n">
        <v>2138350</v>
      </c>
      <c r="E900" s="8" t="inlineStr">
        <is>
          <t>VORICONAZOL FA 200 MG</t>
        </is>
      </c>
    </row>
    <row r="901">
      <c r="D901" s="8" t="n">
        <v>2148810</v>
      </c>
      <c r="E901" s="8" t="inlineStr">
        <is>
          <t>WARFARINA CM 5 MG</t>
        </is>
      </c>
    </row>
    <row r="902">
      <c r="D902" s="8" t="n">
        <v>2009000</v>
      </c>
      <c r="E902" s="8" t="inlineStr">
        <is>
          <t>ZENPEP PANCREOLIPASA CP 10.00</t>
        </is>
      </c>
    </row>
    <row r="903">
      <c r="D903" s="8" t="n">
        <v>2009001</v>
      </c>
      <c r="E903" s="8" t="inlineStr">
        <is>
          <t>ZENPEP PANCREOLIPASA CP 25.00</t>
        </is>
      </c>
    </row>
    <row r="904">
      <c r="D904" s="8" t="n">
        <v>2168000</v>
      </c>
      <c r="E904" s="8" t="inlineStr">
        <is>
          <t>ZINC SULFATO 0,88% AM 10 ML (</t>
        </is>
      </c>
    </row>
  </sheetData>
  <pageMargins left="0.7" right="0.7" top="0.75" bottom="0.75" header="0.3" footer="0.3"/>
  <pageSetup orientation="portrait"/>
  <tableParts count="1">
    <tablePart xmlns:r="http://schemas.openxmlformats.org/officeDocument/2006/relationships" r:id="rId1"/>
  </tableParts>
</worksheet>
</file>

<file path=xl/worksheets/sheet4.xml><?xml version="1.0" encoding="utf-8"?>
<worksheet xmlns="http://schemas.openxmlformats.org/spreadsheetml/2006/main">
  <sheetPr codeName="Hoja2">
    <outlinePr summaryBelow="1" summaryRight="1"/>
    <pageSetUpPr/>
  </sheetPr>
  <dimension ref="A2:I19"/>
  <sheetViews>
    <sheetView workbookViewId="0">
      <selection activeCell="A34" sqref="A34"/>
    </sheetView>
  </sheetViews>
  <sheetFormatPr baseColWidth="10" defaultColWidth="11" defaultRowHeight="13.5"/>
  <cols>
    <col width="135.625" customWidth="1" min="1" max="1"/>
    <col width="27.125" customWidth="1" min="3" max="3"/>
    <col width="25.625" customWidth="1" min="9" max="9"/>
    <col width="23.125" customWidth="1" min="10" max="10"/>
  </cols>
  <sheetData>
    <row r="2" ht="15" customHeight="1">
      <c r="A2" t="inlineStr">
        <is>
          <t>SA</t>
        </is>
      </c>
      <c r="C2" t="inlineStr">
        <is>
          <t>RASS</t>
        </is>
      </c>
      <c r="E2" t="inlineStr">
        <is>
          <t>CAMAS</t>
        </is>
      </c>
      <c r="G2" t="inlineStr">
        <is>
          <t>VM</t>
        </is>
      </c>
      <c r="I2" s="6" t="inlineStr">
        <is>
          <t>AISLAMIENTO</t>
        </is>
      </c>
    </row>
    <row r="3" ht="15" customHeight="1">
      <c r="A3" s="1" t="n"/>
      <c r="C3" s="2" t="n"/>
      <c r="I3" s="7" t="n"/>
    </row>
    <row r="4" ht="16.5" customHeight="1">
      <c r="A4" s="123" t="inlineStr">
        <is>
          <t>ESQUEMA 1  FENTANILO Paj   AMPOLLA  0,5mg/10ml-MIDAZOLAM PI  AMPOLLA 50mg/10ml</t>
        </is>
      </c>
      <c r="C4" s="3" t="inlineStr">
        <is>
          <t>-1 a -2 sedación leve</t>
        </is>
      </c>
      <c r="E4" s="4" t="inlineStr">
        <is>
          <t>UCI 1</t>
        </is>
      </c>
      <c r="G4" s="4" t="inlineStr">
        <is>
          <t>VMI</t>
        </is>
      </c>
      <c r="I4" s="4" t="inlineStr">
        <is>
          <t>GOTITAS</t>
        </is>
      </c>
    </row>
    <row r="5" ht="16.5" customHeight="1">
      <c r="A5" s="123" t="inlineStr">
        <is>
          <t>ESQUEMA 2: MORFINA PI AMPOLLA 10mg/ml - MIDAZOLAM PI AMPOLLA 50 mg/10ml</t>
        </is>
      </c>
      <c r="C5" s="3" t="inlineStr">
        <is>
          <t>-3 sedación moderada</t>
        </is>
      </c>
      <c r="E5" s="4" t="inlineStr">
        <is>
          <t>UCI 2</t>
        </is>
      </c>
      <c r="G5" s="4" t="inlineStr">
        <is>
          <t>VNI BIPAP</t>
        </is>
      </c>
      <c r="I5" s="4" t="inlineStr">
        <is>
          <t>INMUNOSUPRIMIDO</t>
        </is>
      </c>
    </row>
    <row r="6" ht="16.5" customHeight="1">
      <c r="A6" s="123" t="inlineStr">
        <is>
          <t>ESQUEMA 2: KETAMINA PI FRASCO AMPOLLA 500mg/10ml-MIDAZOLAM PI AMPOLLA 50mg/10ml</t>
        </is>
      </c>
      <c r="C6" s="3" t="inlineStr">
        <is>
          <t>-4 a -5 sedación profunda</t>
        </is>
      </c>
      <c r="E6" s="4" t="inlineStr">
        <is>
          <t>UCI 3</t>
        </is>
      </c>
      <c r="G6" s="4" t="inlineStr">
        <is>
          <t>VNI CPAP</t>
        </is>
      </c>
      <c r="I6" s="4" t="inlineStr">
        <is>
          <t>ESTANDAR</t>
        </is>
      </c>
    </row>
    <row r="7" ht="16.5" customHeight="1">
      <c r="A7" s="123" t="inlineStr">
        <is>
          <t>ESQUEMA 3: FENTANILO PAJ AMPOLLA 0,5mg/10ml-PROPOFOL PT AMPOLLA 200mg/20ml</t>
        </is>
      </c>
      <c r="E7" s="4" t="inlineStr">
        <is>
          <t>UCI 4</t>
        </is>
      </c>
      <c r="I7" s="4" t="inlineStr">
        <is>
          <t>GOTITAS +CONTACTO</t>
        </is>
      </c>
    </row>
    <row r="8" ht="16.5" customHeight="1">
      <c r="A8" s="123" t="inlineStr">
        <is>
          <t>ESQUEMA 3: FENTANILO PAJ AMPOLLA 0,5mg/10ml-PROPOFOL PT FRASCO AMPOLLA 1000mg/50ml</t>
        </is>
      </c>
      <c r="E8" s="4" t="inlineStr">
        <is>
          <t>UTI 1</t>
        </is>
      </c>
      <c r="I8" s="4" t="inlineStr">
        <is>
          <t>CONTACTO</t>
        </is>
      </c>
    </row>
    <row r="9" ht="16.5" customHeight="1">
      <c r="A9" s="123" t="inlineStr">
        <is>
          <t xml:space="preserve">ESQUEMA 4: KETAMINA PI FRASCO AMPOLLA 500mg/10ml- PROPOFOL PT AMPOLLA 200mg/20ml </t>
        </is>
      </c>
      <c r="E9" s="4" t="inlineStr">
        <is>
          <t>UTI 2</t>
        </is>
      </c>
    </row>
    <row r="10" ht="16.5" customHeight="1">
      <c r="A10" s="123" t="inlineStr">
        <is>
          <t xml:space="preserve">ESQUEMA 4: KETAMINA PI FRASCO AMPOLLA 500mg/10ml- PROPOFOL PT FRASCO AMPOLLA 1000mg/50ml </t>
        </is>
      </c>
      <c r="E10" s="4" t="inlineStr">
        <is>
          <t>UTI 3</t>
        </is>
      </c>
    </row>
    <row r="11" ht="16.5" customHeight="1">
      <c r="A11" s="123" t="inlineStr">
        <is>
          <t>ESQUEMA 5: FENTANILO PAJ AMPOLLA  0,5mg/10ml-PROPOFOL PT AMPOLLA  200mg/20ml -MIDAZOLAM PI AMPOLLA 50mg/10ml</t>
        </is>
      </c>
      <c r="E11" s="4" t="inlineStr">
        <is>
          <t>UTI 4</t>
        </is>
      </c>
    </row>
    <row r="12" ht="16.5" customHeight="1">
      <c r="A12" s="123" t="inlineStr">
        <is>
          <t>ESQUEMA 6: FENTANILO PAJ AMPOLLA  0,5mg/10ml-PROPOFOLPT AMPOLLA  200mg/20ml-KETAMINA PI FRASCO AMPOLLA 500mg/10ml</t>
        </is>
      </c>
      <c r="E12" s="4" t="inlineStr">
        <is>
          <t>UTI 5</t>
        </is>
      </c>
    </row>
    <row r="13" ht="16.5" customHeight="1">
      <c r="A13" s="123" t="inlineStr">
        <is>
          <t>ESQUEMA 7: DEXMEDETOMIDINA PI FRASCO AMPOLLA 200mcg/50ml -MIDAZOLAM PI AMPOLLA 50mg/10ml - FENTANILO PAJ AMPOLLA 0,5mg/10ML</t>
        </is>
      </c>
      <c r="E13" s="5" t="n"/>
    </row>
    <row r="14" ht="16.5" customHeight="1">
      <c r="A14" s="123" t="inlineStr">
        <is>
          <t>ESQUEMA 7: DEXMEDETOMIDINA PI FRASCO AMPOLLA  200mcg/50ml -MIDAZOLAM PI    AMPOLLA 50mg/10ml - MORFINA PI AMPOLLA 10mg/ml</t>
        </is>
      </c>
    </row>
    <row r="15" ht="16.5" customHeight="1">
      <c r="A15" s="123" t="inlineStr">
        <is>
          <t>ESQUEMA 8: DEXMEDETOMIDINA PI  FRASCO AMPOLLA 200mcg/50ml- FENTANILO PAJ AMPOLLA 0,5MG/10ML - PROPOFOL PT  AMPOLLA 200MG/20ML</t>
        </is>
      </c>
    </row>
    <row r="16" ht="16.5" customHeight="1">
      <c r="A16" s="123" t="inlineStr">
        <is>
          <t>ESQUEMA 9: DEXMEDETOMIDINA PI  FRASCO AMPOLLA 200mcg/50ml-KETAMINA PI FRASCO AMPOLLA  500MG/10ML - PROPOFOL PT AMPOLLA  200MG/20ML</t>
        </is>
      </c>
    </row>
    <row r="17" ht="16.5" customHeight="1">
      <c r="A17" s="123" t="inlineStr">
        <is>
          <t>ESQUEMA : DEXMEDETOMIDINA PI FRASCO AMPOLLA  200mcg/50ml</t>
        </is>
      </c>
    </row>
    <row r="18" ht="16.5" customHeight="1">
      <c r="A18" s="123" t="inlineStr">
        <is>
          <t>ESQUEMA: DEXMEDETOMIDINA PI FRASCO AMPOLLA  200mcg/50ml- PROPOFOL PT  AMPOLLA  200MG/20ML</t>
        </is>
      </c>
    </row>
    <row r="19" ht="16.5" customHeight="1">
      <c r="A19" s="123" t="inlineStr">
        <is>
          <t xml:space="preserve">ESQUEMA: DEXMEDETOMIDINA PI  FRASCO AMPOLLA  200mcg/50ml- FENTANILO PAJ AMPOLLA  0,5MG/10ML </t>
        </is>
      </c>
    </row>
  </sheetData>
  <pageMargins left="0.7" right="0.7" top="0.75" bottom="0.75" header="0.3" footer="0.3"/>
  <tableParts count="5">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Jean Cortes Lorca</dc:creator>
  <dcterms:created xmlns:dcterms="http://purl.org/dc/terms/" xmlns:xsi="http://www.w3.org/2001/XMLSchema-instance" xsi:type="dcterms:W3CDTF">2025-01-02T12:28:00Z</dcterms:created>
  <dcterms:modified xmlns:dcterms="http://purl.org/dc/terms/" xmlns:xsi="http://www.w3.org/2001/XMLSchema-instance" xsi:type="dcterms:W3CDTF">2025-11-11T13:39:42Z</dcterms:modified>
  <cp:lastModifiedBy>HBV</cp:lastModifiedBy>
  <cp:lastPrinted>2025-11-11T13:38:49Z</cp:lastPrinted>
</cp:coreProperties>
</file>